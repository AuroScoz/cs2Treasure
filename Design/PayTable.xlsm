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cs2Treasure\Design\"/>
    </mc:Choice>
  </mc:AlternateContent>
  <xr:revisionPtr revIDLastSave="0" documentId="13_ncr:1_{CDD3212B-A512-4B60-9F04-2E1508C77E36}" xr6:coauthVersionLast="47" xr6:coauthVersionMax="47" xr10:uidLastSave="{00000000-0000-0000-0000-000000000000}"/>
  <bookViews>
    <workbookView xWindow="3825" yWindow="1680" windowWidth="21600" windowHeight="12765" xr2:uid="{00000000-000D-0000-FFFF-FFFF00000000}"/>
  </bookViews>
  <sheets>
    <sheet name="PayTable" sheetId="1" r:id="rId1"/>
    <sheet name="機率設計" sheetId="8" r:id="rId2"/>
    <sheet name="Info" sheetId="6" r:id="rId3"/>
    <sheet name="Setting" sheetId="7" r:id="rId4"/>
  </sheets>
  <functionGroups builtInGroupCount="19"/>
  <definedNames>
    <definedName name="_xlnm._FilterDatabase" localSheetId="0" hidden="1">PayTable!$I$5:$K$5</definedName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#REF!</definedName>
    <definedName name="其他文字">#REF!</definedName>
    <definedName name="效果文字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8" i="1" l="1"/>
  <c r="A59" i="1" s="1"/>
  <c r="A60" i="1" s="1"/>
  <c r="A61" i="1" s="1"/>
  <c r="A62" i="1" s="1"/>
  <c r="A63" i="1" s="1"/>
  <c r="A64" i="1" s="1"/>
  <c r="A65" i="1" s="1"/>
  <c r="A66" i="1" s="1"/>
  <c r="A45" i="1"/>
  <c r="A46" i="1" s="1"/>
  <c r="A47" i="1" s="1"/>
  <c r="A48" i="1" s="1"/>
  <c r="A49" i="1" s="1"/>
  <c r="A50" i="1" s="1"/>
  <c r="A51" i="1" s="1"/>
  <c r="A52" i="1" s="1"/>
  <c r="A53" i="1" s="1"/>
  <c r="A32" i="1"/>
  <c r="A33" i="1" s="1"/>
  <c r="A34" i="1" s="1"/>
  <c r="A35" i="1" s="1"/>
  <c r="A36" i="1" s="1"/>
  <c r="A37" i="1" s="1"/>
  <c r="A38" i="1" s="1"/>
  <c r="A39" i="1" s="1"/>
  <c r="A40" i="1" s="1"/>
  <c r="A19" i="1"/>
  <c r="A20" i="1" s="1"/>
  <c r="A21" i="1" s="1"/>
  <c r="A22" i="1" s="1"/>
  <c r="A23" i="1" s="1"/>
  <c r="A24" i="1" s="1"/>
  <c r="A25" i="1" s="1"/>
  <c r="A26" i="1" s="1"/>
  <c r="A27" i="1" s="1"/>
  <c r="A6" i="1"/>
  <c r="A7" i="1" s="1"/>
  <c r="A8" i="1" s="1"/>
  <c r="A9" i="1" s="1"/>
  <c r="A10" i="1" s="1"/>
  <c r="A11" i="1" s="1"/>
  <c r="A12" i="1" s="1"/>
  <c r="A13" i="1" s="1"/>
  <c r="A14" i="1" s="1"/>
  <c r="D66" i="1"/>
  <c r="D65" i="1"/>
  <c r="E65" i="1" s="1"/>
  <c r="D64" i="1"/>
  <c r="D57" i="1" s="1"/>
  <c r="D63" i="1"/>
  <c r="E63" i="1" s="1"/>
  <c r="D62" i="1"/>
  <c r="E62" i="1" s="1"/>
  <c r="D61" i="1"/>
  <c r="E61" i="1" s="1"/>
  <c r="D60" i="1"/>
  <c r="E60" i="1" s="1"/>
  <c r="D59" i="1"/>
  <c r="E59" i="1" s="1"/>
  <c r="E58" i="1"/>
  <c r="D53" i="1"/>
  <c r="D52" i="1"/>
  <c r="E52" i="1" s="1"/>
  <c r="D51" i="1"/>
  <c r="E51" i="1" s="1"/>
  <c r="D50" i="1"/>
  <c r="E50" i="1" s="1"/>
  <c r="E49" i="1"/>
  <c r="D49" i="1"/>
  <c r="D48" i="1"/>
  <c r="E48" i="1" s="1"/>
  <c r="D47" i="1"/>
  <c r="E47" i="1" s="1"/>
  <c r="D46" i="1"/>
  <c r="E45" i="1"/>
  <c r="D40" i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D33" i="1"/>
  <c r="E33" i="1" s="1"/>
  <c r="E32" i="1"/>
  <c r="D27" i="1"/>
  <c r="D26" i="1"/>
  <c r="E26" i="1" s="1"/>
  <c r="D25" i="1"/>
  <c r="E25" i="1" s="1"/>
  <c r="D24" i="1"/>
  <c r="E24" i="1" s="1"/>
  <c r="D23" i="1"/>
  <c r="E23" i="1" s="1"/>
  <c r="D22" i="1"/>
  <c r="E22" i="1" s="1"/>
  <c r="D21" i="1"/>
  <c r="E20" i="1"/>
  <c r="D20" i="1"/>
  <c r="E19" i="1"/>
  <c r="G26" i="8"/>
  <c r="F26" i="8"/>
  <c r="D14" i="1"/>
  <c r="D13" i="1"/>
  <c r="D12" i="1"/>
  <c r="D11" i="1"/>
  <c r="D10" i="1"/>
  <c r="D9" i="1"/>
  <c r="D8" i="1"/>
  <c r="D7" i="1"/>
  <c r="H25" i="8"/>
  <c r="H24" i="8"/>
  <c r="H23" i="8"/>
  <c r="H22" i="8"/>
  <c r="H21" i="8"/>
  <c r="H20" i="8"/>
  <c r="H19" i="8"/>
  <c r="H18" i="8"/>
  <c r="H17" i="8"/>
  <c r="H16" i="8"/>
  <c r="F19" i="8"/>
  <c r="F20" i="8"/>
  <c r="F21" i="8"/>
  <c r="F22" i="8"/>
  <c r="F23" i="8"/>
  <c r="F24" i="8"/>
  <c r="F25" i="8"/>
  <c r="F18" i="8"/>
  <c r="E17" i="8"/>
  <c r="E18" i="8"/>
  <c r="E19" i="8"/>
  <c r="E20" i="8"/>
  <c r="E21" i="8"/>
  <c r="E22" i="8"/>
  <c r="E23" i="8"/>
  <c r="E24" i="8"/>
  <c r="E25" i="8"/>
  <c r="E16" i="8"/>
  <c r="D31" i="1" l="1"/>
  <c r="D41" i="1" s="1"/>
  <c r="D18" i="1"/>
  <c r="D44" i="1"/>
  <c r="E46" i="1"/>
  <c r="D67" i="1"/>
  <c r="E57" i="1"/>
  <c r="E64" i="1"/>
  <c r="D54" i="1"/>
  <c r="E44" i="1"/>
  <c r="E54" i="1" s="1"/>
  <c r="E31" i="1"/>
  <c r="E41" i="1" s="1"/>
  <c r="E18" i="1"/>
  <c r="E28" i="1" s="1"/>
  <c r="D28" i="1"/>
  <c r="E21" i="1"/>
  <c r="F16" i="8"/>
  <c r="G16" i="8" s="1"/>
  <c r="E67" i="1" l="1"/>
  <c r="E13" i="1"/>
  <c r="E12" i="1" l="1"/>
  <c r="E11" i="1" l="1"/>
  <c r="E10" i="1" l="1"/>
  <c r="E9" i="1" l="1"/>
  <c r="E8" i="1" l="1"/>
  <c r="E7" i="1" l="1"/>
  <c r="D5" i="1" l="1"/>
  <c r="E6" i="1"/>
  <c r="E5" i="1" l="1"/>
  <c r="E15" i="1" s="1"/>
  <c r="D15" i="1"/>
</calcChain>
</file>

<file path=xl/sharedStrings.xml><?xml version="1.0" encoding="utf-8"?>
<sst xmlns="http://schemas.openxmlformats.org/spreadsheetml/2006/main" count="221" uniqueCount="137">
  <si>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</si>
  <si>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</si>
  <si>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</si>
  <si>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</si>
  <si>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</si>
  <si>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</si>
  <si>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</si>
  <si>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</si>
  <si>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</si>
  <si>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</si>
  <si>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</si>
  <si>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</si>
  <si>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</si>
  <si>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</si>
  <si>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</si>
  <si>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</si>
  <si>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</si>
  <si>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</si>
  <si>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</si>
  <si>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</si>
  <si>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</si>
  <si>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</si>
  <si>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</si>
  <si>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</si>
  <si>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</si>
  <si>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</si>
  <si>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</si>
  <si>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</si>
  <si>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</si>
  <si>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</si>
  <si>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</si>
  <si>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</si>
  <si>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</si>
  <si>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</si>
  <si>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</si>
  <si>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</si>
  <si>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</si>
  <si>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</si>
  <si>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</si>
  <si>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</si>
  <si>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</si>
  <si>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</si>
  <si>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</si>
  <si>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</si>
  <si>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</si>
  <si>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</si>
  <si>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</si>
  <si>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</si>
  <si>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</si>
  <si>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</si>
  <si>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</si>
  <si>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</si>
  <si>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</si>
  <si>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</si>
  <si>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</si>
  <si>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</si>
  <si>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</si>
  <si>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</si>
  <si>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</si>
  <si>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</si>
  <si>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</si>
  <si>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</si>
  <si>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</si>
  <si>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</si>
  <si>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</si>
  <si>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</si>
  <si>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</si>
  <si>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</si>
  <si>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</si>
  <si>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</si>
  <si>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</si>
  <si>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</si>
  <si>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</si>
  <si>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</si>
  <si>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</si>
  <si>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</si>
  <si>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</si>
  <si>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</si>
  <si>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</si>
  <si>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</si>
  <si>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</si>
  <si>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</si>
  <si>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</si>
  <si>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ID(n)</t>
    <phoneticPr fontId="1" type="noConversion"/>
  </si>
  <si>
    <t>EffectType</t>
    <phoneticPr fontId="1" type="noConversion"/>
  </si>
  <si>
    <t>Target</t>
    <phoneticPr fontId="1" type="noConversion"/>
  </si>
  <si>
    <t>Activation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</si>
  <si>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</si>
  <si>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權重</t>
    <phoneticPr fontId="1" type="noConversion"/>
  </si>
  <si>
    <t>Weight(n)</t>
    <phoneticPr fontId="1" type="noConversion"/>
  </si>
  <si>
    <t>群組</t>
    <phoneticPr fontId="1" type="noConversion"/>
  </si>
  <si>
    <t>Group(n)</t>
    <phoneticPr fontId="1" type="noConversion"/>
  </si>
  <si>
    <t>_</t>
    <phoneticPr fontId="1" type="noConversion"/>
  </si>
  <si>
    <t>賠率</t>
    <phoneticPr fontId="1" type="noConversion"/>
  </si>
  <si>
    <t>Odds(n)</t>
    <phoneticPr fontId="1" type="noConversion"/>
  </si>
  <si>
    <t>出獎率</t>
    <phoneticPr fontId="1" type="noConversion"/>
  </si>
  <si>
    <t>獎勵道具</t>
    <phoneticPr fontId="1" type="noConversion"/>
  </si>
  <si>
    <t>\cs2Treasure\Assets\AddressableAssets\Jsons\</t>
    <phoneticPr fontId="1" type="noConversion"/>
  </si>
  <si>
    <t>RTP為0.95</t>
  </si>
  <si>
    <t>玩家可以調整遊戲的下注額</t>
  </si>
  <si>
    <t>類似開寶箱，有高機率開出小獎或是沒獎品，低機率開出大獎(很像老虎機 但是單注比較大)</t>
  </si>
  <si>
    <t>根據開出來的獎勵用槍械來表演，例如開出倍率10的獎項就顯示寶箱開出AUG</t>
  </si>
  <si>
    <t>RTP</t>
  </si>
  <si>
    <t>下注</t>
  </si>
  <si>
    <t>賠率</t>
  </si>
  <si>
    <t>實際贏得金額</t>
  </si>
  <si>
    <t>期望值</t>
  </si>
  <si>
    <t>RTP: 0.95013104986895</t>
  </si>
  <si>
    <t>武器箱</t>
  </si>
  <si>
    <t>小箱</t>
  </si>
  <si>
    <t>中箱</t>
  </si>
  <si>
    <t>遊戲規則&amp;機率設計</t>
    <phoneticPr fontId="1" type="noConversion"/>
  </si>
  <si>
    <t>大箱</t>
    <phoneticPr fontId="1" type="noConversion"/>
  </si>
  <si>
    <t>中獎率</t>
    <phoneticPr fontId="1" type="noConversion"/>
  </si>
  <si>
    <t>下注10</t>
    <phoneticPr fontId="1" type="noConversion"/>
  </si>
  <si>
    <t>下注20</t>
    <phoneticPr fontId="1" type="noConversion"/>
  </si>
  <si>
    <t>下注30</t>
    <phoneticPr fontId="1" type="noConversion"/>
  </si>
  <si>
    <t>下注50</t>
    <phoneticPr fontId="1" type="noConversion"/>
  </si>
  <si>
    <t>下注100</t>
    <phoneticPr fontId="1" type="noConversion"/>
  </si>
  <si>
    <t>P2000</t>
  </si>
  <si>
    <t>P250</t>
  </si>
  <si>
    <t>Glock-18</t>
  </si>
  <si>
    <t>Dual Berettas</t>
  </si>
  <si>
    <t>CZ75 Auto</t>
  </si>
  <si>
    <t>Five-SeveN</t>
  </si>
  <si>
    <t>Desert Eagle</t>
  </si>
  <si>
    <t>R8 Revolver</t>
  </si>
  <si>
    <t>Tec-9</t>
  </si>
  <si>
    <t xml:space="preserve"> </t>
  </si>
  <si>
    <t>USP-S</t>
  </si>
  <si>
    <t>USP-S</t>
    <phoneticPr fontId="1" type="noConversion"/>
  </si>
  <si>
    <t>Price</t>
  </si>
  <si>
    <t>Damage</t>
  </si>
  <si>
    <t>槍</t>
    <phoneticPr fontId="1" type="noConversion"/>
  </si>
  <si>
    <t>https://docs.google.com/spreadsheets/d/11tDzUNBq9zIX6_9Rel__fdAUezAQzSnh5AVYzCP060c/edit?gid=0#gid=0</t>
    <phoneticPr fontId="1" type="noConversion"/>
  </si>
  <si>
    <t>Ref(s)</t>
    <phoneticPr fontId="1" type="noConversion"/>
  </si>
  <si>
    <t>https://www.csgodatabase.com/weapons/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</si>
</sst>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  <font>
      <sz val="11"/>
      <color theme="0"/>
      <name val="新細明體"/>
      <family val="1"/>
      <charset val="136"/>
      <scheme val="minor"/>
    </font>
    <font>
      <u/>
      <sz val="11"/>
      <color theme="1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0" fontId="13" fillId="0" borderId="0" applyNumberFormat="0" applyFill="0" applyBorder="0" applyAlignment="0" applyProtection="0"/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12" fillId="2" borderId="0" xfId="0" applyFont="1" applyFill="1"/>
    <xf numFmtId="0" fontId="2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/>
    </xf>
    <xf numFmtId="0" fontId="13" fillId="0" borderId="0" xfId="3"/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超連結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spreadsheets/d/11tDzUNBq9zIX6_9Rel__fdAUezAQzSnh5AVYzCP060c/edit?gid=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72"/>
  <sheetViews>
    <sheetView tabSelected="1" workbookViewId="0">
      <selection activeCell="F11" sqref="F11"/>
    </sheetView>
  </sheetViews>
  <sheetFormatPr defaultColWidth="10.42578125" defaultRowHeight="15.75" x14ac:dyDescent="0.25"/>
  <cols>
    <col min="1" max="1" width="10.42578125" style="6"/>
    <col min="2" max="3" width="11" customWidth="1"/>
    <col min="4" max="4" width="14.85546875" customWidth="1"/>
    <col min="5" max="5" width="19.140625" customWidth="1"/>
    <col min="6" max="6" width="22.42578125" customWidth="1"/>
    <col min="8" max="8" width="10.42578125" style="15"/>
    <col min="9" max="9" width="14.85546875" customWidth="1"/>
    <col min="10" max="11" width="13.7109375" customWidth="1"/>
  </cols>
  <sheetData>
    <row r="1" spans="1:11" s="7" customFormat="1" x14ac:dyDescent="0.25">
      <c r="A1" s="7" t="s">
        <v>83</v>
      </c>
      <c r="B1" s="7" t="s">
        <v>91</v>
      </c>
      <c r="C1" s="7" t="s">
        <v>94</v>
      </c>
      <c r="D1" s="7" t="s">
        <v>92</v>
      </c>
      <c r="E1" s="7" t="s">
        <v>89</v>
      </c>
      <c r="F1" s="7" t="s">
        <v>135</v>
      </c>
      <c r="H1" s="13"/>
    </row>
    <row r="2" spans="1:11" s="7" customFormat="1" x14ac:dyDescent="0.25">
      <c r="A2" s="7" t="s">
        <v>79</v>
      </c>
      <c r="B2" s="7" t="s">
        <v>90</v>
      </c>
      <c r="C2" s="7" t="s">
        <v>93</v>
      </c>
      <c r="D2" s="7" t="s">
        <v>95</v>
      </c>
      <c r="E2" s="7" t="s">
        <v>88</v>
      </c>
      <c r="F2" s="7" t="s">
        <v>96</v>
      </c>
      <c r="H2" s="13"/>
    </row>
    <row r="4" spans="1:11" x14ac:dyDescent="0.25">
      <c r="B4" s="7" t="s">
        <v>114</v>
      </c>
    </row>
    <row r="5" spans="1:11" s="6" customFormat="1" x14ac:dyDescent="0.25">
      <c r="A5" s="6">
        <v>101</v>
      </c>
      <c r="B5" s="6">
        <v>10</v>
      </c>
      <c r="C5" s="6">
        <v>0</v>
      </c>
      <c r="D5" s="6">
        <f>1-SUM(D6:D14)</f>
        <v>6.1013500000000165E-2</v>
      </c>
      <c r="E5" s="6">
        <f>ROUND(1000000*D5,0)</f>
        <v>61014</v>
      </c>
      <c r="F5" s="14" t="s">
        <v>121</v>
      </c>
      <c r="G5" s="6" t="s">
        <v>128</v>
      </c>
      <c r="H5" s="14"/>
      <c r="I5" s="7" t="s">
        <v>133</v>
      </c>
      <c r="J5" s="7" t="s">
        <v>131</v>
      </c>
      <c r="K5" s="7" t="s">
        <v>132</v>
      </c>
    </row>
    <row r="6" spans="1:11" s="6" customFormat="1" x14ac:dyDescent="0.25">
      <c r="A6" s="6">
        <f>A5+1</f>
        <v>102</v>
      </c>
      <c r="B6" s="6">
        <v>10</v>
      </c>
      <c r="C6" s="6">
        <v>0.3</v>
      </c>
      <c r="D6" s="6">
        <v>0.35189999999999999</v>
      </c>
      <c r="E6" s="6">
        <f t="shared" ref="E6:E13" si="0">ROUND(1000000*D6,0)</f>
        <v>351900</v>
      </c>
      <c r="F6" s="6" t="s">
        <v>119</v>
      </c>
      <c r="G6" s="6" t="s">
        <v>128</v>
      </c>
      <c r="I6" s="6" t="s">
        <v>121</v>
      </c>
      <c r="J6" s="21">
        <v>200</v>
      </c>
      <c r="K6" s="6">
        <v>30</v>
      </c>
    </row>
    <row r="7" spans="1:11" s="6" customFormat="1" x14ac:dyDescent="0.25">
      <c r="A7" s="6">
        <f t="shared" ref="A7:A14" si="1">A6+1</f>
        <v>103</v>
      </c>
      <c r="B7" s="6">
        <v>10</v>
      </c>
      <c r="C7" s="6">
        <v>0.6</v>
      </c>
      <c r="D7" s="6">
        <f>D$6*C$6/C7</f>
        <v>0.17595</v>
      </c>
      <c r="E7" s="6">
        <f t="shared" si="0"/>
        <v>175950</v>
      </c>
      <c r="F7" s="20" t="s">
        <v>129</v>
      </c>
      <c r="I7" s="6" t="s">
        <v>119</v>
      </c>
      <c r="J7" s="21">
        <v>200</v>
      </c>
      <c r="K7" s="6">
        <v>35</v>
      </c>
    </row>
    <row r="8" spans="1:11" s="6" customFormat="1" x14ac:dyDescent="0.25">
      <c r="A8" s="6">
        <f t="shared" si="1"/>
        <v>104</v>
      </c>
      <c r="B8" s="6">
        <v>10</v>
      </c>
      <c r="C8" s="6">
        <v>0.9</v>
      </c>
      <c r="D8" s="6">
        <f>D$6*C$6/C8</f>
        <v>0.11729999999999999</v>
      </c>
      <c r="E8" s="6">
        <f t="shared" si="0"/>
        <v>117300</v>
      </c>
      <c r="F8" s="6" t="s">
        <v>120</v>
      </c>
      <c r="H8" s="14"/>
      <c r="I8" s="6" t="s">
        <v>130</v>
      </c>
      <c r="J8" s="21">
        <v>200</v>
      </c>
      <c r="K8" s="6">
        <v>35</v>
      </c>
    </row>
    <row r="9" spans="1:11" s="6" customFormat="1" x14ac:dyDescent="0.25">
      <c r="A9" s="6">
        <f t="shared" si="1"/>
        <v>105</v>
      </c>
      <c r="B9" s="6">
        <v>10</v>
      </c>
      <c r="C9" s="6">
        <v>1.2</v>
      </c>
      <c r="D9" s="6">
        <f>D$6*C$6/C9</f>
        <v>8.7974999999999998E-2</v>
      </c>
      <c r="E9" s="6">
        <f t="shared" si="0"/>
        <v>87975</v>
      </c>
      <c r="F9" s="20" t="s">
        <v>122</v>
      </c>
      <c r="H9" s="14"/>
      <c r="I9" s="6" t="s">
        <v>120</v>
      </c>
      <c r="J9" s="22">
        <v>300</v>
      </c>
      <c r="K9" s="19">
        <v>38</v>
      </c>
    </row>
    <row r="10" spans="1:11" s="6" customFormat="1" x14ac:dyDescent="0.25">
      <c r="A10" s="6">
        <f t="shared" si="1"/>
        <v>106</v>
      </c>
      <c r="B10" s="6">
        <v>10</v>
      </c>
      <c r="C10" s="6">
        <v>1.5</v>
      </c>
      <c r="D10" s="6">
        <f t="shared" ref="D10:D14" si="2">D$6*C$6/C10</f>
        <v>7.0379999999999998E-2</v>
      </c>
      <c r="E10" s="6">
        <f t="shared" si="0"/>
        <v>70380</v>
      </c>
      <c r="F10" s="6" t="s">
        <v>123</v>
      </c>
      <c r="H10" s="14"/>
      <c r="I10" s="6" t="s">
        <v>122</v>
      </c>
      <c r="J10" s="21">
        <v>300</v>
      </c>
      <c r="K10" s="6">
        <v>38</v>
      </c>
    </row>
    <row r="11" spans="1:11" s="6" customFormat="1" x14ac:dyDescent="0.25">
      <c r="A11" s="6">
        <f t="shared" si="1"/>
        <v>107</v>
      </c>
      <c r="B11" s="6">
        <v>10</v>
      </c>
      <c r="C11" s="6">
        <v>2</v>
      </c>
      <c r="D11" s="6">
        <f t="shared" si="2"/>
        <v>5.2784999999999999E-2</v>
      </c>
      <c r="E11" s="6">
        <f t="shared" si="0"/>
        <v>52785</v>
      </c>
      <c r="F11" s="6" t="s">
        <v>124</v>
      </c>
      <c r="H11" s="14"/>
      <c r="I11" s="19" t="s">
        <v>123</v>
      </c>
      <c r="J11" s="22">
        <v>500</v>
      </c>
      <c r="K11" s="19">
        <v>31</v>
      </c>
    </row>
    <row r="12" spans="1:11" s="6" customFormat="1" x14ac:dyDescent="0.25">
      <c r="A12" s="6">
        <f t="shared" si="1"/>
        <v>108</v>
      </c>
      <c r="B12" s="6">
        <v>10</v>
      </c>
      <c r="C12" s="6">
        <v>3</v>
      </c>
      <c r="D12" s="6">
        <f t="shared" si="2"/>
        <v>3.5189999999999999E-2</v>
      </c>
      <c r="E12" s="6">
        <f t="shared" si="0"/>
        <v>35190</v>
      </c>
      <c r="F12" s="6" t="s">
        <v>127</v>
      </c>
      <c r="H12" s="14"/>
      <c r="I12" s="6" t="s">
        <v>124</v>
      </c>
      <c r="J12" s="21">
        <v>500</v>
      </c>
      <c r="K12" s="6">
        <v>32</v>
      </c>
    </row>
    <row r="13" spans="1:11" s="6" customFormat="1" x14ac:dyDescent="0.25">
      <c r="A13" s="6">
        <f t="shared" si="1"/>
        <v>109</v>
      </c>
      <c r="B13" s="6">
        <v>10</v>
      </c>
      <c r="C13" s="6">
        <v>4</v>
      </c>
      <c r="D13" s="6">
        <f t="shared" si="2"/>
        <v>2.6392499999999999E-2</v>
      </c>
      <c r="E13" s="6">
        <f t="shared" si="0"/>
        <v>26393</v>
      </c>
      <c r="F13" s="6" t="s">
        <v>126</v>
      </c>
      <c r="H13" s="14"/>
      <c r="I13" s="6" t="s">
        <v>127</v>
      </c>
      <c r="J13" s="21">
        <v>500</v>
      </c>
      <c r="K13" s="6">
        <v>33</v>
      </c>
    </row>
    <row r="14" spans="1:11" s="6" customFormat="1" x14ac:dyDescent="0.25">
      <c r="A14" s="6">
        <f t="shared" si="1"/>
        <v>110</v>
      </c>
      <c r="B14" s="6">
        <v>10</v>
      </c>
      <c r="C14" s="6">
        <v>5</v>
      </c>
      <c r="D14" s="6">
        <f t="shared" si="2"/>
        <v>2.1114000000000001E-2</v>
      </c>
      <c r="E14" s="6">
        <v>21113</v>
      </c>
      <c r="F14" s="6" t="s">
        <v>125</v>
      </c>
      <c r="H14" s="14"/>
      <c r="I14" s="6" t="s">
        <v>126</v>
      </c>
      <c r="J14" s="21">
        <v>600</v>
      </c>
      <c r="K14" s="6">
        <v>86</v>
      </c>
    </row>
    <row r="15" spans="1:11" x14ac:dyDescent="0.25">
      <c r="D15" s="19" t="str">
        <f>"總機率: "&amp;SUM(D5:D14)</f>
        <v>總機率: 1</v>
      </c>
      <c r="E15" s="19" t="str">
        <f>"總權重:"&amp;SUM(E5:E14)</f>
        <v>總權重:1000000</v>
      </c>
      <c r="G15" s="6"/>
      <c r="I15" s="6" t="s">
        <v>125</v>
      </c>
      <c r="J15" s="21">
        <v>700</v>
      </c>
      <c r="K15" s="6">
        <v>53</v>
      </c>
    </row>
    <row r="16" spans="1:11" x14ac:dyDescent="0.25">
      <c r="G16" s="6"/>
      <c r="I16" s="23" t="s">
        <v>134</v>
      </c>
    </row>
    <row r="17" spans="1:9" x14ac:dyDescent="0.25">
      <c r="B17" s="7" t="s">
        <v>115</v>
      </c>
      <c r="G17" s="6"/>
      <c r="I17" s="23" t="s">
        <v>136</v>
      </c>
    </row>
    <row r="18" spans="1:9" s="6" customFormat="1" x14ac:dyDescent="0.25">
      <c r="A18" s="6">
        <v>201</v>
      </c>
      <c r="B18" s="6">
        <v>20</v>
      </c>
      <c r="C18" s="6">
        <v>0</v>
      </c>
      <c r="D18" s="6">
        <f>1-SUM(D19:D27)</f>
        <v>6.1013500000000165E-2</v>
      </c>
      <c r="E18" s="6">
        <f>ROUND(1000000*D18,0)</f>
        <v>61014</v>
      </c>
      <c r="F18" s="14" t="s">
        <v>121</v>
      </c>
      <c r="H18" s="14"/>
    </row>
    <row r="19" spans="1:9" s="6" customFormat="1" x14ac:dyDescent="0.25">
      <c r="A19" s="6">
        <f>A18+1</f>
        <v>202</v>
      </c>
      <c r="B19" s="6">
        <v>20</v>
      </c>
      <c r="C19" s="6">
        <v>0.3</v>
      </c>
      <c r="D19" s="6">
        <v>0.35189999999999999</v>
      </c>
      <c r="E19" s="6">
        <f t="shared" ref="E19:E26" si="3">ROUND(1000000*D19,0)</f>
        <v>351900</v>
      </c>
      <c r="F19" s="6" t="s">
        <v>119</v>
      </c>
      <c r="H19" s="14"/>
    </row>
    <row r="20" spans="1:9" s="6" customFormat="1" x14ac:dyDescent="0.25">
      <c r="A20" s="6">
        <f t="shared" ref="A20:A27" si="4">A19+1</f>
        <v>203</v>
      </c>
      <c r="B20" s="6">
        <v>20</v>
      </c>
      <c r="C20" s="6">
        <v>0.6</v>
      </c>
      <c r="D20" s="6">
        <f>D$6*C$6/C20</f>
        <v>0.17595</v>
      </c>
      <c r="E20" s="6">
        <f t="shared" si="3"/>
        <v>175950</v>
      </c>
      <c r="F20" s="20" t="s">
        <v>129</v>
      </c>
      <c r="H20" s="14"/>
    </row>
    <row r="21" spans="1:9" s="6" customFormat="1" x14ac:dyDescent="0.25">
      <c r="A21" s="6">
        <f t="shared" si="4"/>
        <v>204</v>
      </c>
      <c r="B21" s="6">
        <v>20</v>
      </c>
      <c r="C21" s="6">
        <v>0.9</v>
      </c>
      <c r="D21" s="6">
        <f>D$6*C$6/C21</f>
        <v>0.11729999999999999</v>
      </c>
      <c r="E21" s="6">
        <f t="shared" si="3"/>
        <v>117300</v>
      </c>
      <c r="F21" s="6" t="s">
        <v>120</v>
      </c>
      <c r="H21" s="14"/>
    </row>
    <row r="22" spans="1:9" s="6" customFormat="1" x14ac:dyDescent="0.25">
      <c r="A22" s="6">
        <f t="shared" si="4"/>
        <v>205</v>
      </c>
      <c r="B22" s="6">
        <v>20</v>
      </c>
      <c r="C22" s="6">
        <v>1.2</v>
      </c>
      <c r="D22" s="6">
        <f>D$6*C$6/C22</f>
        <v>8.7974999999999998E-2</v>
      </c>
      <c r="E22" s="6">
        <f t="shared" si="3"/>
        <v>87975</v>
      </c>
      <c r="F22" s="20" t="s">
        <v>122</v>
      </c>
      <c r="H22" s="14"/>
    </row>
    <row r="23" spans="1:9" s="6" customFormat="1" x14ac:dyDescent="0.25">
      <c r="A23" s="6">
        <f t="shared" si="4"/>
        <v>206</v>
      </c>
      <c r="B23" s="6">
        <v>20</v>
      </c>
      <c r="C23" s="6">
        <v>1.5</v>
      </c>
      <c r="D23" s="6">
        <f t="shared" ref="D23:D27" si="5">D$6*C$6/C23</f>
        <v>7.0379999999999998E-2</v>
      </c>
      <c r="E23" s="6">
        <f t="shared" si="3"/>
        <v>70380</v>
      </c>
      <c r="F23" s="6" t="s">
        <v>123</v>
      </c>
      <c r="H23" s="14"/>
    </row>
    <row r="24" spans="1:9" s="6" customFormat="1" x14ac:dyDescent="0.25">
      <c r="A24" s="6">
        <f t="shared" si="4"/>
        <v>207</v>
      </c>
      <c r="B24" s="6">
        <v>20</v>
      </c>
      <c r="C24" s="6">
        <v>2</v>
      </c>
      <c r="D24" s="6">
        <f t="shared" si="5"/>
        <v>5.2784999999999999E-2</v>
      </c>
      <c r="E24" s="6">
        <f t="shared" si="3"/>
        <v>52785</v>
      </c>
      <c r="F24" s="6" t="s">
        <v>124</v>
      </c>
      <c r="H24" s="14"/>
    </row>
    <row r="25" spans="1:9" s="6" customFormat="1" x14ac:dyDescent="0.25">
      <c r="A25" s="6">
        <f t="shared" si="4"/>
        <v>208</v>
      </c>
      <c r="B25" s="6">
        <v>20</v>
      </c>
      <c r="C25" s="6">
        <v>3</v>
      </c>
      <c r="D25" s="6">
        <f t="shared" si="5"/>
        <v>3.5189999999999999E-2</v>
      </c>
      <c r="E25" s="6">
        <f t="shared" si="3"/>
        <v>35190</v>
      </c>
      <c r="F25" s="6" t="s">
        <v>127</v>
      </c>
      <c r="H25" s="14"/>
    </row>
    <row r="26" spans="1:9" s="6" customFormat="1" x14ac:dyDescent="0.25">
      <c r="A26" s="6">
        <f t="shared" si="4"/>
        <v>209</v>
      </c>
      <c r="B26" s="6">
        <v>20</v>
      </c>
      <c r="C26" s="6">
        <v>4</v>
      </c>
      <c r="D26" s="6">
        <f t="shared" si="5"/>
        <v>2.6392499999999999E-2</v>
      </c>
      <c r="E26" s="6">
        <f t="shared" si="3"/>
        <v>26393</v>
      </c>
      <c r="F26" s="6" t="s">
        <v>126</v>
      </c>
      <c r="H26" s="14"/>
    </row>
    <row r="27" spans="1:9" s="6" customFormat="1" x14ac:dyDescent="0.25">
      <c r="A27" s="6">
        <f t="shared" si="4"/>
        <v>210</v>
      </c>
      <c r="B27" s="6">
        <v>20</v>
      </c>
      <c r="C27" s="6">
        <v>5</v>
      </c>
      <c r="D27" s="6">
        <f t="shared" si="5"/>
        <v>2.1114000000000001E-2</v>
      </c>
      <c r="E27" s="6">
        <v>21113</v>
      </c>
      <c r="F27" s="6" t="s">
        <v>125</v>
      </c>
      <c r="H27" s="14"/>
    </row>
    <row r="28" spans="1:9" ht="15" customHeight="1" x14ac:dyDescent="0.25">
      <c r="D28" s="19" t="str">
        <f>"總機率: "&amp;SUM(D18:D27)</f>
        <v>總機率: 1</v>
      </c>
      <c r="E28" s="19" t="str">
        <f>"總權重:"&amp;SUM(E18:E27)</f>
        <v>總權重:1000000</v>
      </c>
    </row>
    <row r="30" spans="1:9" x14ac:dyDescent="0.25">
      <c r="B30" s="7" t="s">
        <v>116</v>
      </c>
    </row>
    <row r="31" spans="1:9" s="6" customFormat="1" x14ac:dyDescent="0.25">
      <c r="A31" s="6">
        <v>301</v>
      </c>
      <c r="B31" s="6">
        <v>30</v>
      </c>
      <c r="C31" s="6">
        <v>0</v>
      </c>
      <c r="D31" s="6">
        <f>1-SUM(D32:D40)</f>
        <v>6.1013500000000165E-2</v>
      </c>
      <c r="E31" s="6">
        <f>ROUND(1000000*D31,0)</f>
        <v>61014</v>
      </c>
      <c r="F31" s="14" t="s">
        <v>121</v>
      </c>
      <c r="H31" s="14"/>
    </row>
    <row r="32" spans="1:9" s="6" customFormat="1" x14ac:dyDescent="0.25">
      <c r="A32" s="6">
        <f>A31+1</f>
        <v>302</v>
      </c>
      <c r="B32" s="6">
        <v>30</v>
      </c>
      <c r="C32" s="6">
        <v>0.3</v>
      </c>
      <c r="D32" s="6">
        <v>0.35189999999999999</v>
      </c>
      <c r="E32" s="6">
        <f t="shared" ref="E32:E39" si="6">ROUND(1000000*D32,0)</f>
        <v>351900</v>
      </c>
      <c r="F32" s="6" t="s">
        <v>119</v>
      </c>
      <c r="H32" s="14"/>
    </row>
    <row r="33" spans="1:8" s="6" customFormat="1" x14ac:dyDescent="0.25">
      <c r="A33" s="6">
        <f t="shared" ref="A33:A40" si="7">A32+1</f>
        <v>303</v>
      </c>
      <c r="B33" s="6">
        <v>30</v>
      </c>
      <c r="C33" s="6">
        <v>0.6</v>
      </c>
      <c r="D33" s="6">
        <f>D$6*C$6/C33</f>
        <v>0.17595</v>
      </c>
      <c r="E33" s="6">
        <f t="shared" si="6"/>
        <v>175950</v>
      </c>
      <c r="F33" s="20" t="s">
        <v>129</v>
      </c>
      <c r="H33" s="14"/>
    </row>
    <row r="34" spans="1:8" s="6" customFormat="1" x14ac:dyDescent="0.25">
      <c r="A34" s="6">
        <f t="shared" si="7"/>
        <v>304</v>
      </c>
      <c r="B34" s="6">
        <v>30</v>
      </c>
      <c r="C34" s="6">
        <v>0.9</v>
      </c>
      <c r="D34" s="6">
        <f>D$6*C$6/C34</f>
        <v>0.11729999999999999</v>
      </c>
      <c r="E34" s="6">
        <f t="shared" si="6"/>
        <v>117300</v>
      </c>
      <c r="F34" s="6" t="s">
        <v>120</v>
      </c>
      <c r="H34" s="14"/>
    </row>
    <row r="35" spans="1:8" s="6" customFormat="1" x14ac:dyDescent="0.25">
      <c r="A35" s="6">
        <f t="shared" si="7"/>
        <v>305</v>
      </c>
      <c r="B35" s="6">
        <v>30</v>
      </c>
      <c r="C35" s="6">
        <v>1.2</v>
      </c>
      <c r="D35" s="6">
        <f>D$6*C$6/C35</f>
        <v>8.7974999999999998E-2</v>
      </c>
      <c r="E35" s="6">
        <f t="shared" si="6"/>
        <v>87975</v>
      </c>
      <c r="F35" s="20" t="s">
        <v>122</v>
      </c>
      <c r="H35" s="14"/>
    </row>
    <row r="36" spans="1:8" s="6" customFormat="1" x14ac:dyDescent="0.25">
      <c r="A36" s="6">
        <f t="shared" si="7"/>
        <v>306</v>
      </c>
      <c r="B36" s="6">
        <v>30</v>
      </c>
      <c r="C36" s="6">
        <v>1.5</v>
      </c>
      <c r="D36" s="6">
        <f t="shared" ref="D36:D40" si="8">D$6*C$6/C36</f>
        <v>7.0379999999999998E-2</v>
      </c>
      <c r="E36" s="6">
        <f t="shared" si="6"/>
        <v>70380</v>
      </c>
      <c r="F36" s="6" t="s">
        <v>123</v>
      </c>
      <c r="H36" s="14"/>
    </row>
    <row r="37" spans="1:8" s="6" customFormat="1" x14ac:dyDescent="0.25">
      <c r="A37" s="6">
        <f t="shared" si="7"/>
        <v>307</v>
      </c>
      <c r="B37" s="6">
        <v>30</v>
      </c>
      <c r="C37" s="6">
        <v>2</v>
      </c>
      <c r="D37" s="6">
        <f t="shared" si="8"/>
        <v>5.2784999999999999E-2</v>
      </c>
      <c r="E37" s="6">
        <f t="shared" si="6"/>
        <v>52785</v>
      </c>
      <c r="F37" s="6" t="s">
        <v>124</v>
      </c>
      <c r="H37" s="14"/>
    </row>
    <row r="38" spans="1:8" s="6" customFormat="1" x14ac:dyDescent="0.25">
      <c r="A38" s="6">
        <f t="shared" si="7"/>
        <v>308</v>
      </c>
      <c r="B38" s="6">
        <v>30</v>
      </c>
      <c r="C38" s="6">
        <v>3</v>
      </c>
      <c r="D38" s="6">
        <f t="shared" si="8"/>
        <v>3.5189999999999999E-2</v>
      </c>
      <c r="E38" s="6">
        <f t="shared" si="6"/>
        <v>35190</v>
      </c>
      <c r="F38" s="6" t="s">
        <v>127</v>
      </c>
      <c r="H38" s="14"/>
    </row>
    <row r="39" spans="1:8" s="6" customFormat="1" x14ac:dyDescent="0.25">
      <c r="A39" s="6">
        <f t="shared" si="7"/>
        <v>309</v>
      </c>
      <c r="B39" s="6">
        <v>30</v>
      </c>
      <c r="C39" s="6">
        <v>4</v>
      </c>
      <c r="D39" s="6">
        <f t="shared" si="8"/>
        <v>2.6392499999999999E-2</v>
      </c>
      <c r="E39" s="6">
        <f t="shared" si="6"/>
        <v>26393</v>
      </c>
      <c r="F39" s="6" t="s">
        <v>126</v>
      </c>
      <c r="H39" s="14"/>
    </row>
    <row r="40" spans="1:8" s="6" customFormat="1" x14ac:dyDescent="0.25">
      <c r="A40" s="6">
        <f t="shared" si="7"/>
        <v>310</v>
      </c>
      <c r="B40" s="6">
        <v>30</v>
      </c>
      <c r="C40" s="6">
        <v>5</v>
      </c>
      <c r="D40" s="6">
        <f t="shared" si="8"/>
        <v>2.1114000000000001E-2</v>
      </c>
      <c r="E40" s="6">
        <v>21113</v>
      </c>
      <c r="F40" s="6" t="s">
        <v>125</v>
      </c>
      <c r="H40" s="14"/>
    </row>
    <row r="41" spans="1:8" x14ac:dyDescent="0.25">
      <c r="D41" s="19" t="str">
        <f>"總機率: "&amp;SUM(D31:D40)</f>
        <v>總機率: 1</v>
      </c>
      <c r="E41" s="19" t="str">
        <f>"總權重:"&amp;SUM(E31:E40)</f>
        <v>總權重:1000000</v>
      </c>
    </row>
    <row r="43" spans="1:8" x14ac:dyDescent="0.25">
      <c r="B43" s="7" t="s">
        <v>117</v>
      </c>
    </row>
    <row r="44" spans="1:8" s="6" customFormat="1" x14ac:dyDescent="0.25">
      <c r="A44" s="6">
        <v>401</v>
      </c>
      <c r="B44" s="6">
        <v>50</v>
      </c>
      <c r="C44" s="6">
        <v>0</v>
      </c>
      <c r="D44" s="6">
        <f>1-SUM(D45:D53)</f>
        <v>6.1013500000000165E-2</v>
      </c>
      <c r="E44" s="6">
        <f>ROUND(1000000*D44,0)</f>
        <v>61014</v>
      </c>
      <c r="F44" s="14" t="s">
        <v>121</v>
      </c>
      <c r="H44" s="14"/>
    </row>
    <row r="45" spans="1:8" s="6" customFormat="1" x14ac:dyDescent="0.25">
      <c r="A45" s="6">
        <f>A44+1</f>
        <v>402</v>
      </c>
      <c r="B45" s="6">
        <v>50</v>
      </c>
      <c r="C45" s="6">
        <v>0.3</v>
      </c>
      <c r="D45" s="6">
        <v>0.35189999999999999</v>
      </c>
      <c r="E45" s="6">
        <f t="shared" ref="E45:E52" si="9">ROUND(1000000*D45,0)</f>
        <v>351900</v>
      </c>
      <c r="F45" s="6" t="s">
        <v>119</v>
      </c>
      <c r="H45" s="14"/>
    </row>
    <row r="46" spans="1:8" s="6" customFormat="1" x14ac:dyDescent="0.25">
      <c r="A46" s="6">
        <f t="shared" ref="A46:A53" si="10">A45+1</f>
        <v>403</v>
      </c>
      <c r="B46" s="6">
        <v>50</v>
      </c>
      <c r="C46" s="6">
        <v>0.6</v>
      </c>
      <c r="D46" s="6">
        <f>D$6*C$6/C46</f>
        <v>0.17595</v>
      </c>
      <c r="E46" s="6">
        <f t="shared" si="9"/>
        <v>175950</v>
      </c>
      <c r="F46" s="20" t="s">
        <v>129</v>
      </c>
      <c r="H46" s="14"/>
    </row>
    <row r="47" spans="1:8" s="6" customFormat="1" x14ac:dyDescent="0.25">
      <c r="A47" s="6">
        <f t="shared" si="10"/>
        <v>404</v>
      </c>
      <c r="B47" s="6">
        <v>50</v>
      </c>
      <c r="C47" s="6">
        <v>0.9</v>
      </c>
      <c r="D47" s="6">
        <f>D$6*C$6/C47</f>
        <v>0.11729999999999999</v>
      </c>
      <c r="E47" s="6">
        <f t="shared" si="9"/>
        <v>117300</v>
      </c>
      <c r="F47" s="6" t="s">
        <v>120</v>
      </c>
      <c r="H47" s="14"/>
    </row>
    <row r="48" spans="1:8" s="6" customFormat="1" x14ac:dyDescent="0.25">
      <c r="A48" s="6">
        <f t="shared" si="10"/>
        <v>405</v>
      </c>
      <c r="B48" s="6">
        <v>50</v>
      </c>
      <c r="C48" s="6">
        <v>1.2</v>
      </c>
      <c r="D48" s="6">
        <f>D$6*C$6/C48</f>
        <v>8.7974999999999998E-2</v>
      </c>
      <c r="E48" s="6">
        <f t="shared" si="9"/>
        <v>87975</v>
      </c>
      <c r="F48" s="20" t="s">
        <v>122</v>
      </c>
      <c r="H48" s="14"/>
    </row>
    <row r="49" spans="1:8" s="6" customFormat="1" x14ac:dyDescent="0.25">
      <c r="A49" s="6">
        <f t="shared" si="10"/>
        <v>406</v>
      </c>
      <c r="B49" s="6">
        <v>50</v>
      </c>
      <c r="C49" s="6">
        <v>1.5</v>
      </c>
      <c r="D49" s="6">
        <f t="shared" ref="D49:D53" si="11">D$6*C$6/C49</f>
        <v>7.0379999999999998E-2</v>
      </c>
      <c r="E49" s="6">
        <f t="shared" si="9"/>
        <v>70380</v>
      </c>
      <c r="F49" s="6" t="s">
        <v>123</v>
      </c>
      <c r="H49" s="14"/>
    </row>
    <row r="50" spans="1:8" s="6" customFormat="1" x14ac:dyDescent="0.25">
      <c r="A50" s="6">
        <f t="shared" si="10"/>
        <v>407</v>
      </c>
      <c r="B50" s="6">
        <v>50</v>
      </c>
      <c r="C50" s="6">
        <v>2</v>
      </c>
      <c r="D50" s="6">
        <f t="shared" si="11"/>
        <v>5.2784999999999999E-2</v>
      </c>
      <c r="E50" s="6">
        <f t="shared" si="9"/>
        <v>52785</v>
      </c>
      <c r="F50" s="6" t="s">
        <v>124</v>
      </c>
      <c r="H50" s="14"/>
    </row>
    <row r="51" spans="1:8" s="6" customFormat="1" x14ac:dyDescent="0.25">
      <c r="A51" s="6">
        <f t="shared" si="10"/>
        <v>408</v>
      </c>
      <c r="B51" s="6">
        <v>50</v>
      </c>
      <c r="C51" s="6">
        <v>3</v>
      </c>
      <c r="D51" s="6">
        <f t="shared" si="11"/>
        <v>3.5189999999999999E-2</v>
      </c>
      <c r="E51" s="6">
        <f t="shared" si="9"/>
        <v>35190</v>
      </c>
      <c r="F51" s="6" t="s">
        <v>127</v>
      </c>
      <c r="H51" s="14"/>
    </row>
    <row r="52" spans="1:8" s="6" customFormat="1" x14ac:dyDescent="0.25">
      <c r="A52" s="6">
        <f t="shared" si="10"/>
        <v>409</v>
      </c>
      <c r="B52" s="6">
        <v>50</v>
      </c>
      <c r="C52" s="6">
        <v>4</v>
      </c>
      <c r="D52" s="6">
        <f t="shared" si="11"/>
        <v>2.6392499999999999E-2</v>
      </c>
      <c r="E52" s="6">
        <f t="shared" si="9"/>
        <v>26393</v>
      </c>
      <c r="F52" s="6" t="s">
        <v>126</v>
      </c>
      <c r="H52" s="14"/>
    </row>
    <row r="53" spans="1:8" s="6" customFormat="1" x14ac:dyDescent="0.25">
      <c r="A53" s="6">
        <f t="shared" si="10"/>
        <v>410</v>
      </c>
      <c r="B53" s="6">
        <v>50</v>
      </c>
      <c r="C53" s="6">
        <v>5</v>
      </c>
      <c r="D53" s="6">
        <f t="shared" si="11"/>
        <v>2.1114000000000001E-2</v>
      </c>
      <c r="E53" s="6">
        <v>21113</v>
      </c>
      <c r="F53" s="6" t="s">
        <v>125</v>
      </c>
      <c r="H53" s="14"/>
    </row>
    <row r="54" spans="1:8" x14ac:dyDescent="0.25">
      <c r="D54" s="19" t="str">
        <f>"總機率: "&amp;SUM(D44:D53)</f>
        <v>總機率: 1</v>
      </c>
      <c r="E54" s="19" t="str">
        <f>"總權重:"&amp;SUM(E44:E53)</f>
        <v>總權重:1000000</v>
      </c>
    </row>
    <row r="56" spans="1:8" x14ac:dyDescent="0.25">
      <c r="B56" s="7" t="s">
        <v>118</v>
      </c>
    </row>
    <row r="57" spans="1:8" s="6" customFormat="1" x14ac:dyDescent="0.25">
      <c r="A57" s="6">
        <v>501</v>
      </c>
      <c r="B57" s="6">
        <v>100</v>
      </c>
      <c r="C57" s="6">
        <v>0</v>
      </c>
      <c r="D57" s="6">
        <f>1-SUM(D58:D66)</f>
        <v>6.1013500000000165E-2</v>
      </c>
      <c r="E57" s="6">
        <f>ROUND(1000000*D57,0)</f>
        <v>61014</v>
      </c>
      <c r="F57" s="14" t="s">
        <v>121</v>
      </c>
      <c r="H57" s="14"/>
    </row>
    <row r="58" spans="1:8" s="6" customFormat="1" x14ac:dyDescent="0.25">
      <c r="A58" s="6">
        <f>A57+1</f>
        <v>502</v>
      </c>
      <c r="B58" s="6">
        <v>100</v>
      </c>
      <c r="C58" s="6">
        <v>0.3</v>
      </c>
      <c r="D58" s="6">
        <v>0.35189999999999999</v>
      </c>
      <c r="E58" s="6">
        <f t="shared" ref="E58:E65" si="12">ROUND(1000000*D58,0)</f>
        <v>351900</v>
      </c>
      <c r="F58" s="6" t="s">
        <v>119</v>
      </c>
      <c r="H58" s="14"/>
    </row>
    <row r="59" spans="1:8" s="6" customFormat="1" x14ac:dyDescent="0.25">
      <c r="A59" s="6">
        <f t="shared" ref="A59:A66" si="13">A58+1</f>
        <v>503</v>
      </c>
      <c r="B59" s="6">
        <v>100</v>
      </c>
      <c r="C59" s="6">
        <v>0.6</v>
      </c>
      <c r="D59" s="6">
        <f>D$6*C$6/C59</f>
        <v>0.17595</v>
      </c>
      <c r="E59" s="6">
        <f t="shared" si="12"/>
        <v>175950</v>
      </c>
      <c r="F59" s="20" t="s">
        <v>129</v>
      </c>
      <c r="H59" s="14"/>
    </row>
    <row r="60" spans="1:8" s="6" customFormat="1" x14ac:dyDescent="0.25">
      <c r="A60" s="6">
        <f t="shared" si="13"/>
        <v>504</v>
      </c>
      <c r="B60" s="6">
        <v>100</v>
      </c>
      <c r="C60" s="6">
        <v>0.9</v>
      </c>
      <c r="D60" s="6">
        <f>D$6*C$6/C60</f>
        <v>0.11729999999999999</v>
      </c>
      <c r="E60" s="6">
        <f t="shared" si="12"/>
        <v>117300</v>
      </c>
      <c r="F60" s="6" t="s">
        <v>120</v>
      </c>
      <c r="H60" s="14"/>
    </row>
    <row r="61" spans="1:8" s="6" customFormat="1" x14ac:dyDescent="0.25">
      <c r="A61" s="6">
        <f t="shared" si="13"/>
        <v>505</v>
      </c>
      <c r="B61" s="6">
        <v>100</v>
      </c>
      <c r="C61" s="6">
        <v>1.2</v>
      </c>
      <c r="D61" s="6">
        <f>D$6*C$6/C61</f>
        <v>8.7974999999999998E-2</v>
      </c>
      <c r="E61" s="6">
        <f t="shared" si="12"/>
        <v>87975</v>
      </c>
      <c r="F61" s="20" t="s">
        <v>122</v>
      </c>
      <c r="H61" s="14"/>
    </row>
    <row r="62" spans="1:8" s="6" customFormat="1" x14ac:dyDescent="0.25">
      <c r="A62" s="6">
        <f t="shared" si="13"/>
        <v>506</v>
      </c>
      <c r="B62" s="6">
        <v>100</v>
      </c>
      <c r="C62" s="6">
        <v>1.5</v>
      </c>
      <c r="D62" s="6">
        <f t="shared" ref="D62:D66" si="14">D$6*C$6/C62</f>
        <v>7.0379999999999998E-2</v>
      </c>
      <c r="E62" s="6">
        <f t="shared" si="12"/>
        <v>70380</v>
      </c>
      <c r="F62" s="6" t="s">
        <v>123</v>
      </c>
      <c r="H62" s="14"/>
    </row>
    <row r="63" spans="1:8" s="6" customFormat="1" x14ac:dyDescent="0.25">
      <c r="A63" s="6">
        <f t="shared" si="13"/>
        <v>507</v>
      </c>
      <c r="B63" s="6">
        <v>100</v>
      </c>
      <c r="C63" s="6">
        <v>2</v>
      </c>
      <c r="D63" s="6">
        <f t="shared" si="14"/>
        <v>5.2784999999999999E-2</v>
      </c>
      <c r="E63" s="6">
        <f t="shared" si="12"/>
        <v>52785</v>
      </c>
      <c r="F63" s="6" t="s">
        <v>124</v>
      </c>
      <c r="H63" s="14"/>
    </row>
    <row r="64" spans="1:8" s="6" customFormat="1" x14ac:dyDescent="0.25">
      <c r="A64" s="6">
        <f t="shared" si="13"/>
        <v>508</v>
      </c>
      <c r="B64" s="6">
        <v>100</v>
      </c>
      <c r="C64" s="6">
        <v>3</v>
      </c>
      <c r="D64" s="6">
        <f t="shared" si="14"/>
        <v>3.5189999999999999E-2</v>
      </c>
      <c r="E64" s="6">
        <f t="shared" si="12"/>
        <v>35190</v>
      </c>
      <c r="F64" s="6" t="s">
        <v>127</v>
      </c>
      <c r="H64" s="14"/>
    </row>
    <row r="65" spans="1:8" s="6" customFormat="1" x14ac:dyDescent="0.25">
      <c r="A65" s="6">
        <f t="shared" si="13"/>
        <v>509</v>
      </c>
      <c r="B65" s="6">
        <v>100</v>
      </c>
      <c r="C65" s="6">
        <v>4</v>
      </c>
      <c r="D65" s="6">
        <f t="shared" si="14"/>
        <v>2.6392499999999999E-2</v>
      </c>
      <c r="E65" s="6">
        <f t="shared" si="12"/>
        <v>26393</v>
      </c>
      <c r="F65" s="6" t="s">
        <v>126</v>
      </c>
      <c r="H65" s="14"/>
    </row>
    <row r="66" spans="1:8" s="6" customFormat="1" x14ac:dyDescent="0.25">
      <c r="A66" s="6">
        <f t="shared" si="13"/>
        <v>510</v>
      </c>
      <c r="B66" s="6">
        <v>100</v>
      </c>
      <c r="C66" s="6">
        <v>5</v>
      </c>
      <c r="D66" s="6">
        <f t="shared" si="14"/>
        <v>2.1114000000000001E-2</v>
      </c>
      <c r="E66" s="6">
        <v>21113</v>
      </c>
      <c r="F66" s="6" t="s">
        <v>125</v>
      </c>
      <c r="H66" s="14"/>
    </row>
    <row r="67" spans="1:8" x14ac:dyDescent="0.25">
      <c r="D67" s="19" t="str">
        <f>"總機率: "&amp;SUM(D57:D66)</f>
        <v>總機率: 1</v>
      </c>
      <c r="E67" s="19" t="str">
        <f>"總權重:"&amp;SUM(E57:E66)</f>
        <v>總權重:1000000</v>
      </c>
    </row>
    <row r="72" spans="1:8" x14ac:dyDescent="0.25">
      <c r="A72" s="11" t="s">
        <v>82</v>
      </c>
    </row>
  </sheetData>
  <autoFilter ref="I5:K5" xr:uid="{00000000-0001-0000-0000-000000000000}">
    <sortState xmlns:xlrd2="http://schemas.microsoft.com/office/spreadsheetml/2017/richdata2" ref="I6:K15">
      <sortCondition ref="J5"/>
    </sortState>
  </autoFilter>
  <dataConsolidate/>
  <phoneticPr fontId="1" type="noConversion"/>
  <hyperlinks>
    <hyperlink ref="I16" r:id="rId1" location="gid=0" xr:uid="{96290CEB-8DD8-42F8-96E1-9CB3A6542FB4}"/>
  </hyperlinks>
  <pageMargins left="0.7" right="0.7" top="0.75" bottom="0.75" header="0.3" footer="0.3"/>
  <pageSetup paperSize="9" orientation="portrait" horizontalDpi="1200" verticalDpi="12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79D30-F45C-46C2-B741-EFC5A8E4415F}">
  <dimension ref="B3:H34"/>
  <sheetViews>
    <sheetView topLeftCell="A7" workbookViewId="0">
      <selection activeCell="F26" sqref="F26:G26"/>
    </sheetView>
  </sheetViews>
  <sheetFormatPr defaultRowHeight="15.75" x14ac:dyDescent="0.25"/>
  <cols>
    <col min="5" max="5" width="16.5703125" customWidth="1"/>
    <col min="6" max="6" width="19.5703125" customWidth="1"/>
    <col min="7" max="7" width="18.28515625" customWidth="1"/>
    <col min="8" max="8" width="22.5703125" customWidth="1"/>
    <col min="9" max="9" width="18.7109375" customWidth="1"/>
  </cols>
  <sheetData>
    <row r="3" spans="2:8" x14ac:dyDescent="0.25">
      <c r="B3" s="1" t="s">
        <v>111</v>
      </c>
      <c r="C3" s="16"/>
      <c r="D3" s="16"/>
    </row>
    <row r="5" spans="2:8" x14ac:dyDescent="0.25">
      <c r="B5">
        <v>1</v>
      </c>
      <c r="C5" t="s">
        <v>98</v>
      </c>
    </row>
    <row r="6" spans="2:8" x14ac:dyDescent="0.25">
      <c r="B6">
        <v>2</v>
      </c>
      <c r="C6" t="s">
        <v>99</v>
      </c>
    </row>
    <row r="7" spans="2:8" x14ac:dyDescent="0.25">
      <c r="B7">
        <v>3</v>
      </c>
      <c r="C7" t="s">
        <v>100</v>
      </c>
    </row>
    <row r="8" spans="2:8" x14ac:dyDescent="0.25">
      <c r="B8">
        <v>4</v>
      </c>
      <c r="C8" t="s">
        <v>101</v>
      </c>
    </row>
    <row r="9" spans="2:8" x14ac:dyDescent="0.25">
      <c r="D9" s="19"/>
      <c r="E9" s="19"/>
      <c r="F9" s="19"/>
      <c r="G9" s="19"/>
      <c r="H9" s="19"/>
    </row>
    <row r="10" spans="2:8" x14ac:dyDescent="0.25">
      <c r="D10" s="17" t="s">
        <v>102</v>
      </c>
      <c r="E10" s="19"/>
      <c r="F10" s="19"/>
      <c r="G10" s="19"/>
      <c r="H10" s="19"/>
    </row>
    <row r="11" spans="2:8" x14ac:dyDescent="0.25">
      <c r="D11" s="18">
        <v>0.95</v>
      </c>
      <c r="E11" s="19"/>
      <c r="F11" s="19"/>
      <c r="G11" s="19"/>
      <c r="H11" s="19"/>
    </row>
    <row r="12" spans="2:8" x14ac:dyDescent="0.25">
      <c r="D12" s="17" t="s">
        <v>103</v>
      </c>
      <c r="E12" s="19"/>
      <c r="F12" s="19"/>
      <c r="G12" s="19"/>
      <c r="H12" s="19"/>
    </row>
    <row r="13" spans="2:8" x14ac:dyDescent="0.25">
      <c r="D13" s="18">
        <v>10</v>
      </c>
      <c r="E13" s="19"/>
      <c r="F13" s="19"/>
      <c r="G13" s="19"/>
      <c r="H13" s="19"/>
    </row>
    <row r="14" spans="2:8" x14ac:dyDescent="0.25">
      <c r="D14" s="19"/>
      <c r="E14" s="19"/>
      <c r="F14" s="19"/>
      <c r="G14" s="19"/>
      <c r="H14" s="19"/>
    </row>
    <row r="15" spans="2:8" x14ac:dyDescent="0.25">
      <c r="D15" s="7" t="s">
        <v>104</v>
      </c>
      <c r="E15" s="7" t="s">
        <v>105</v>
      </c>
      <c r="F15" s="7" t="s">
        <v>113</v>
      </c>
      <c r="G15" s="7" t="s">
        <v>88</v>
      </c>
      <c r="H15" s="7" t="s">
        <v>106</v>
      </c>
    </row>
    <row r="16" spans="2:8" x14ac:dyDescent="0.25">
      <c r="D16" s="6">
        <v>0</v>
      </c>
      <c r="E16" s="6">
        <f>D$13*D16</f>
        <v>0</v>
      </c>
      <c r="F16" s="6">
        <f>1-SUM(F17:F25)</f>
        <v>6.1013500000000165E-2</v>
      </c>
      <c r="G16" s="6">
        <f>ROUND(1000000*F16,0)</f>
        <v>61014</v>
      </c>
      <c r="H16" s="6">
        <f>D$13*F16</f>
        <v>0.61013500000000165</v>
      </c>
    </row>
    <row r="17" spans="4:8" x14ac:dyDescent="0.25">
      <c r="D17" s="6">
        <v>0.3</v>
      </c>
      <c r="E17" s="6">
        <f t="shared" ref="E17:E25" si="0">D$13*D17</f>
        <v>3</v>
      </c>
      <c r="F17" s="6">
        <v>0.35189999999999999</v>
      </c>
      <c r="G17" s="6">
        <v>351900</v>
      </c>
      <c r="H17" s="6">
        <f t="shared" ref="H17:H25" si="1">D$13*F17</f>
        <v>3.5190000000000001</v>
      </c>
    </row>
    <row r="18" spans="4:8" x14ac:dyDescent="0.25">
      <c r="D18" s="6">
        <v>0.6</v>
      </c>
      <c r="E18" s="6">
        <f t="shared" si="0"/>
        <v>6</v>
      </c>
      <c r="F18" s="6">
        <f>F$17*D$17/D18</f>
        <v>0.17595</v>
      </c>
      <c r="G18" s="6">
        <v>175950</v>
      </c>
      <c r="H18" s="6">
        <f t="shared" si="1"/>
        <v>1.7595000000000001</v>
      </c>
    </row>
    <row r="19" spans="4:8" x14ac:dyDescent="0.25">
      <c r="D19" s="6">
        <v>0.9</v>
      </c>
      <c r="E19" s="6">
        <f t="shared" si="0"/>
        <v>9</v>
      </c>
      <c r="F19" s="6">
        <f t="shared" ref="F19:F25" si="2">F$17*D$17/D19</f>
        <v>0.11729999999999999</v>
      </c>
      <c r="G19" s="6">
        <v>117300</v>
      </c>
      <c r="H19" s="6">
        <f t="shared" si="1"/>
        <v>1.1729999999999998</v>
      </c>
    </row>
    <row r="20" spans="4:8" x14ac:dyDescent="0.25">
      <c r="D20" s="6">
        <v>1.2</v>
      </c>
      <c r="E20" s="6">
        <f t="shared" si="0"/>
        <v>12</v>
      </c>
      <c r="F20" s="6">
        <f t="shared" si="2"/>
        <v>8.7974999999999998E-2</v>
      </c>
      <c r="G20" s="6">
        <v>87975</v>
      </c>
      <c r="H20" s="6">
        <f t="shared" si="1"/>
        <v>0.87975000000000003</v>
      </c>
    </row>
    <row r="21" spans="4:8" x14ac:dyDescent="0.25">
      <c r="D21" s="6">
        <v>1.5</v>
      </c>
      <c r="E21" s="6">
        <f t="shared" si="0"/>
        <v>15</v>
      </c>
      <c r="F21" s="6">
        <f t="shared" si="2"/>
        <v>7.0379999999999998E-2</v>
      </c>
      <c r="G21" s="6">
        <v>70380</v>
      </c>
      <c r="H21" s="6">
        <f t="shared" si="1"/>
        <v>0.70379999999999998</v>
      </c>
    </row>
    <row r="22" spans="4:8" x14ac:dyDescent="0.25">
      <c r="D22" s="6">
        <v>2</v>
      </c>
      <c r="E22" s="6">
        <f t="shared" si="0"/>
        <v>20</v>
      </c>
      <c r="F22" s="6">
        <f t="shared" si="2"/>
        <v>5.2784999999999999E-2</v>
      </c>
      <c r="G22" s="6">
        <v>52785</v>
      </c>
      <c r="H22" s="6">
        <f t="shared" si="1"/>
        <v>0.52784999999999993</v>
      </c>
    </row>
    <row r="23" spans="4:8" x14ac:dyDescent="0.25">
      <c r="D23" s="6">
        <v>3</v>
      </c>
      <c r="E23" s="6">
        <f t="shared" si="0"/>
        <v>30</v>
      </c>
      <c r="F23" s="6">
        <f t="shared" si="2"/>
        <v>3.5189999999999999E-2</v>
      </c>
      <c r="G23" s="6">
        <v>35190</v>
      </c>
      <c r="H23" s="6">
        <f t="shared" si="1"/>
        <v>0.35189999999999999</v>
      </c>
    </row>
    <row r="24" spans="4:8" x14ac:dyDescent="0.25">
      <c r="D24" s="6">
        <v>4</v>
      </c>
      <c r="E24" s="6">
        <f t="shared" si="0"/>
        <v>40</v>
      </c>
      <c r="F24" s="6">
        <f t="shared" si="2"/>
        <v>2.6392499999999999E-2</v>
      </c>
      <c r="G24" s="6">
        <v>26393</v>
      </c>
      <c r="H24" s="6">
        <f t="shared" si="1"/>
        <v>0.26392499999999997</v>
      </c>
    </row>
    <row r="25" spans="4:8" x14ac:dyDescent="0.25">
      <c r="D25" s="6">
        <v>5</v>
      </c>
      <c r="E25" s="6">
        <f t="shared" si="0"/>
        <v>50</v>
      </c>
      <c r="F25" s="6">
        <f t="shared" si="2"/>
        <v>2.1114000000000001E-2</v>
      </c>
      <c r="G25" s="6">
        <v>21114</v>
      </c>
      <c r="H25" s="6">
        <f t="shared" si="1"/>
        <v>0.21113999999999999</v>
      </c>
    </row>
    <row r="26" spans="4:8" x14ac:dyDescent="0.25">
      <c r="D26" s="19"/>
      <c r="E26" s="19"/>
      <c r="F26" s="19" t="str">
        <f>"總機率: "&amp;SUM(F16:F25)</f>
        <v>總機率: 1</v>
      </c>
      <c r="G26" s="19" t="str">
        <f>"總權重:"&amp;SUM(G16:G25)</f>
        <v>總權重:1000001</v>
      </c>
      <c r="H26" s="19" t="s">
        <v>107</v>
      </c>
    </row>
    <row r="29" spans="4:8" x14ac:dyDescent="0.25">
      <c r="D29" s="17" t="s">
        <v>103</v>
      </c>
      <c r="E29" s="17" t="s">
        <v>108</v>
      </c>
    </row>
    <row r="30" spans="4:8" x14ac:dyDescent="0.25">
      <c r="D30" s="18">
        <v>10</v>
      </c>
      <c r="E30" s="19" t="s">
        <v>109</v>
      </c>
    </row>
    <row r="31" spans="4:8" x14ac:dyDescent="0.25">
      <c r="D31" s="18">
        <v>20</v>
      </c>
      <c r="E31" s="19" t="s">
        <v>110</v>
      </c>
    </row>
    <row r="32" spans="4:8" x14ac:dyDescent="0.25">
      <c r="D32" s="18">
        <v>30</v>
      </c>
      <c r="E32" s="19" t="s">
        <v>110</v>
      </c>
    </row>
    <row r="33" spans="4:5" x14ac:dyDescent="0.25">
      <c r="D33" s="18">
        <v>50</v>
      </c>
      <c r="E33" s="19" t="s">
        <v>112</v>
      </c>
    </row>
    <row r="34" spans="4:5" x14ac:dyDescent="0.25">
      <c r="D34" s="18">
        <v>100</v>
      </c>
      <c r="E34" s="19" t="s">
        <v>112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87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workbookViewId="0">
      <selection activeCell="B1" sqref="B1"/>
    </sheetView>
  </sheetViews>
  <sheetFormatPr defaultRowHeight="15.75" x14ac:dyDescent="0.2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 x14ac:dyDescent="0.25">
      <c r="A1" s="10" t="s">
        <v>81</v>
      </c>
      <c r="B1" s="12" t="s">
        <v>97</v>
      </c>
    </row>
    <row r="2" spans="1:6" x14ac:dyDescent="0.25">
      <c r="A2" s="10"/>
      <c r="B2" s="12"/>
    </row>
    <row r="6" spans="1:6" x14ac:dyDescent="0.25">
      <c r="A6" s="2"/>
    </row>
    <row r="9" spans="1:6" ht="16.5" x14ac:dyDescent="0.25">
      <c r="A9" s="3" t="s">
        <v>84</v>
      </c>
      <c r="B9" s="3" t="s">
        <v>76</v>
      </c>
      <c r="C9" s="3" t="s">
        <v>85</v>
      </c>
      <c r="D9" s="3" t="s">
        <v>76</v>
      </c>
      <c r="E9" s="3" t="s">
        <v>86</v>
      </c>
      <c r="F9" s="3" t="s">
        <v>76</v>
      </c>
    </row>
    <row r="10" spans="1:6" x14ac:dyDescent="0.25">
      <c r="B10" s="9"/>
    </row>
    <row r="11" spans="1:6" x14ac:dyDescent="0.25">
      <c r="B11" s="9"/>
    </row>
    <row r="12" spans="1:6" x14ac:dyDescent="0.25">
      <c r="B12" s="9"/>
    </row>
    <row r="13" spans="1:6" x14ac:dyDescent="0.25">
      <c r="B13" s="9"/>
    </row>
    <row r="14" spans="1:6" x14ac:dyDescent="0.25">
      <c r="B14" s="9"/>
    </row>
    <row r="15" spans="1:6" x14ac:dyDescent="0.25">
      <c r="B15" s="9"/>
    </row>
    <row r="16" spans="1:6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  <row r="25" spans="2:2" x14ac:dyDescent="0.25">
      <c r="B25" s="9"/>
    </row>
    <row r="26" spans="2:2" x14ac:dyDescent="0.25">
      <c r="B26" s="9"/>
    </row>
    <row r="27" spans="2:2" x14ac:dyDescent="0.25">
      <c r="B27" s="9"/>
    </row>
    <row r="28" spans="2:2" x14ac:dyDescent="0.25">
      <c r="B28" s="9"/>
    </row>
    <row r="29" spans="2:2" x14ac:dyDescent="0.25">
      <c r="B29" s="9"/>
    </row>
    <row r="30" spans="2:2" x14ac:dyDescent="0.25">
      <c r="B30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PayTable</vt:lpstr>
      <vt:lpstr>機率設計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2024-07-02T10:26:51Z</dcterms:modified>
</cp:coreProperties>
</file>