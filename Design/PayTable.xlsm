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cs2Treasure\Design\"/>
    </mc:Choice>
  </mc:AlternateContent>
  <xr:revisionPtr revIDLastSave="0" documentId="13_ncr:1_{5C47E15A-FD20-4424-B025-C6FB5516DB1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ayTable" sheetId="1" r:id="rId1"/>
    <sheet name="設計" sheetId="8" r:id="rId2"/>
    <sheet name="Info" sheetId="6" r:id="rId3"/>
    <sheet name="Setting" sheetId="7" r:id="rId4"/>
  </sheets>
  <functionGroups builtInGroupCount="19"/>
  <definedNames>
    <definedName name="_xlnm._FilterDatabase" localSheetId="0" hidden="1">設計!$E$41:$G$41</definedName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#REF!</definedName>
    <definedName name="其他文字">#REF!</definedName>
    <definedName name="效果文字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26" i="1"/>
  <c r="F25" i="1"/>
  <c r="F24" i="1"/>
  <c r="F23" i="1"/>
  <c r="F22" i="1"/>
  <c r="F21" i="1"/>
  <c r="F20" i="1"/>
  <c r="F19" i="1"/>
  <c r="E18" i="1"/>
  <c r="F18" i="1" s="1"/>
  <c r="F14" i="1"/>
  <c r="F13" i="1"/>
  <c r="F12" i="1"/>
  <c r="F11" i="1"/>
  <c r="F10" i="1"/>
  <c r="F9" i="1"/>
  <c r="F8" i="1"/>
  <c r="F7" i="1"/>
  <c r="F6" i="1"/>
  <c r="E5" i="1"/>
  <c r="F5" i="1" s="1"/>
  <c r="F16" i="8"/>
  <c r="H16" i="8" s="1"/>
  <c r="G25" i="8"/>
  <c r="G24" i="8"/>
  <c r="G23" i="8"/>
  <c r="G22" i="8"/>
  <c r="G21" i="8"/>
  <c r="G20" i="8"/>
  <c r="G19" i="8"/>
  <c r="G18" i="8"/>
  <c r="G17" i="8"/>
  <c r="H25" i="8"/>
  <c r="H24" i="8"/>
  <c r="H23" i="8"/>
  <c r="H22" i="8"/>
  <c r="H21" i="8"/>
  <c r="H20" i="8"/>
  <c r="H19" i="8"/>
  <c r="H18" i="8"/>
  <c r="H17" i="8"/>
  <c r="H70" i="1"/>
  <c r="H57" i="1"/>
  <c r="H44" i="1"/>
  <c r="H31" i="1"/>
  <c r="H18" i="1"/>
  <c r="H5" i="1"/>
  <c r="D79" i="1"/>
  <c r="D78" i="1"/>
  <c r="D77" i="1"/>
  <c r="D76" i="1"/>
  <c r="D75" i="1"/>
  <c r="D74" i="1"/>
  <c r="D73" i="1"/>
  <c r="D72" i="1"/>
  <c r="D71" i="1"/>
  <c r="A71" i="1"/>
  <c r="A72" i="1" s="1"/>
  <c r="A73" i="1" s="1"/>
  <c r="A74" i="1" s="1"/>
  <c r="A75" i="1" s="1"/>
  <c r="A76" i="1" s="1"/>
  <c r="A77" i="1" s="1"/>
  <c r="A78" i="1" s="1"/>
  <c r="A79" i="1" s="1"/>
  <c r="D70" i="1"/>
  <c r="D66" i="1"/>
  <c r="D65" i="1"/>
  <c r="D64" i="1"/>
  <c r="D63" i="1"/>
  <c r="D62" i="1"/>
  <c r="D61" i="1"/>
  <c r="D60" i="1"/>
  <c r="D59" i="1"/>
  <c r="D58" i="1"/>
  <c r="D57" i="1"/>
  <c r="D53" i="1"/>
  <c r="D52" i="1"/>
  <c r="D51" i="1"/>
  <c r="D50" i="1"/>
  <c r="D49" i="1"/>
  <c r="D48" i="1"/>
  <c r="D47" i="1"/>
  <c r="D46" i="1"/>
  <c r="D45" i="1"/>
  <c r="D44" i="1"/>
  <c r="D40" i="1"/>
  <c r="D39" i="1"/>
  <c r="D38" i="1"/>
  <c r="D37" i="1"/>
  <c r="D36" i="1"/>
  <c r="D35" i="1"/>
  <c r="D34" i="1"/>
  <c r="D33" i="1"/>
  <c r="D32" i="1"/>
  <c r="D31" i="1"/>
  <c r="D27" i="1"/>
  <c r="D26" i="1"/>
  <c r="D25" i="1"/>
  <c r="D24" i="1"/>
  <c r="D23" i="1"/>
  <c r="D22" i="1"/>
  <c r="D21" i="1"/>
  <c r="D20" i="1"/>
  <c r="D19" i="1"/>
  <c r="D18" i="1"/>
  <c r="D14" i="1"/>
  <c r="D13" i="1"/>
  <c r="D12" i="1"/>
  <c r="D11" i="1"/>
  <c r="D10" i="1"/>
  <c r="D9" i="1"/>
  <c r="D8" i="1"/>
  <c r="D7" i="1"/>
  <c r="D6" i="1"/>
  <c r="D5" i="1"/>
  <c r="A58" i="1"/>
  <c r="A59" i="1" s="1"/>
  <c r="A60" i="1" s="1"/>
  <c r="A61" i="1" s="1"/>
  <c r="A62" i="1" s="1"/>
  <c r="A63" i="1" s="1"/>
  <c r="A64" i="1" s="1"/>
  <c r="A65" i="1" s="1"/>
  <c r="A66" i="1" s="1"/>
  <c r="A45" i="1"/>
  <c r="A46" i="1" s="1"/>
  <c r="A47" i="1" s="1"/>
  <c r="A48" i="1" s="1"/>
  <c r="A49" i="1" s="1"/>
  <c r="A50" i="1" s="1"/>
  <c r="A51" i="1" s="1"/>
  <c r="A52" i="1" s="1"/>
  <c r="A53" i="1" s="1"/>
  <c r="A32" i="1"/>
  <c r="A33" i="1" s="1"/>
  <c r="A34" i="1" s="1"/>
  <c r="A35" i="1" s="1"/>
  <c r="A36" i="1" s="1"/>
  <c r="A37" i="1" s="1"/>
  <c r="A38" i="1" s="1"/>
  <c r="A39" i="1" s="1"/>
  <c r="A40" i="1" s="1"/>
  <c r="A19" i="1"/>
  <c r="A20" i="1" s="1"/>
  <c r="A21" i="1" s="1"/>
  <c r="A22" i="1" s="1"/>
  <c r="A23" i="1" s="1"/>
  <c r="A24" i="1" s="1"/>
  <c r="A25" i="1" s="1"/>
  <c r="A26" i="1" s="1"/>
  <c r="A27" i="1" s="1"/>
  <c r="A6" i="1"/>
  <c r="A7" i="1" s="1"/>
  <c r="A8" i="1" s="1"/>
  <c r="A9" i="1" s="1"/>
  <c r="A10" i="1" s="1"/>
  <c r="A11" i="1" s="1"/>
  <c r="A12" i="1" s="1"/>
  <c r="A13" i="1" s="1"/>
  <c r="A14" i="1" s="1"/>
  <c r="E17" i="8"/>
  <c r="E18" i="8"/>
  <c r="E19" i="8"/>
  <c r="E20" i="8"/>
  <c r="E21" i="8"/>
  <c r="E22" i="8"/>
  <c r="E23" i="8"/>
  <c r="E24" i="8"/>
  <c r="E25" i="8"/>
  <c r="E16" i="8"/>
  <c r="E80" i="1" l="1"/>
  <c r="E67" i="1"/>
  <c r="E41" i="1"/>
  <c r="E28" i="1"/>
  <c r="E54" i="1"/>
  <c r="F41" i="1"/>
  <c r="G16" i="8" l="1"/>
  <c r="G26" i="8" s="1"/>
  <c r="F26" i="8"/>
  <c r="H26" i="8"/>
  <c r="F54" i="1"/>
  <c r="F80" i="1"/>
  <c r="F28" i="1"/>
  <c r="F67" i="1"/>
  <c r="F15" i="1" l="1"/>
  <c r="E15" i="1"/>
</calcChain>
</file>

<file path=xl/sharedStrings.xml><?xml version="1.0" encoding="utf-8"?>
<sst xmlns="http://schemas.openxmlformats.org/spreadsheetml/2006/main" count="249" uniqueCount="155">
  <si>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</si>
  <si>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</si>
  <si>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</si>
  <si>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</si>
  <si>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</si>
  <si>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</si>
  <si>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</si>
  <si>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</si>
  <si>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</si>
  <si>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</si>
  <si>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</si>
  <si>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</si>
  <si>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</si>
  <si>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</si>
  <si>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</si>
  <si>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</si>
  <si>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</si>
  <si>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</si>
  <si>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</si>
  <si>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</si>
  <si>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</si>
  <si>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</si>
  <si>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</si>
  <si>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</si>
  <si>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</si>
  <si>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</si>
  <si>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</si>
  <si>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</si>
  <si>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</si>
  <si>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</si>
  <si>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</si>
  <si>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</si>
  <si>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</si>
  <si>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</si>
  <si>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</si>
  <si>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</si>
  <si>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</si>
  <si>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</si>
  <si>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</si>
  <si>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</si>
  <si>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</si>
  <si>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</si>
  <si>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</si>
  <si>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</si>
  <si>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</si>
  <si>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</si>
  <si>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</si>
  <si>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</si>
  <si>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</si>
  <si>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</si>
  <si>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</si>
  <si>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</si>
  <si>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</si>
  <si>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</si>
  <si>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</si>
  <si>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</si>
  <si>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</si>
  <si>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</si>
  <si>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</si>
  <si>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</si>
  <si>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</si>
  <si>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</si>
  <si>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</si>
  <si>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</si>
  <si>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</si>
  <si>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</si>
  <si>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</si>
  <si>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</si>
  <si>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</si>
  <si>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</si>
  <si>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</si>
  <si>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</si>
  <si>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</si>
  <si>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</si>
  <si>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</si>
  <si>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</si>
  <si>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</si>
  <si>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</si>
  <si>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</si>
  <si>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</si>
  <si>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</si>
  <si>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</si>
  <si>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</si>
  <si>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ID(n)</t>
    <phoneticPr fontId="1" type="noConversion"/>
  </si>
  <si>
    <t>EffectType</t>
    <phoneticPr fontId="1" type="noConversion"/>
  </si>
  <si>
    <t>Target</t>
    <phoneticPr fontId="1" type="noConversion"/>
  </si>
  <si>
    <t>Activation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</si>
  <si>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</si>
  <si>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權重</t>
    <phoneticPr fontId="1" type="noConversion"/>
  </si>
  <si>
    <t>Weight(n)</t>
    <phoneticPr fontId="1" type="noConversion"/>
  </si>
  <si>
    <t>群組</t>
    <phoneticPr fontId="1" type="noConversion"/>
  </si>
  <si>
    <t>Group(n)</t>
    <phoneticPr fontId="1" type="noConversion"/>
  </si>
  <si>
    <t>_</t>
    <phoneticPr fontId="1" type="noConversion"/>
  </si>
  <si>
    <t>賠率</t>
    <phoneticPr fontId="1" type="noConversion"/>
  </si>
  <si>
    <t>出獎率</t>
    <phoneticPr fontId="1" type="noConversion"/>
  </si>
  <si>
    <t>獎勵道具</t>
    <phoneticPr fontId="1" type="noConversion"/>
  </si>
  <si>
    <t>\cs2Treasure\Assets\AddressableAssets\Jsons\</t>
    <phoneticPr fontId="1" type="noConversion"/>
  </si>
  <si>
    <t>RTP為0.95</t>
  </si>
  <si>
    <t>玩家可以調整遊戲的下注額</t>
  </si>
  <si>
    <t>類似開寶箱，有高機率開出小獎或是沒獎品，低機率開出大獎(很像老虎機 但是單注比較大)</t>
  </si>
  <si>
    <t>根據開出來的獎勵用槍械來表演，例如開出倍率10的獎項就顯示寶箱開出AUG</t>
  </si>
  <si>
    <t>RTP</t>
  </si>
  <si>
    <t>下注</t>
  </si>
  <si>
    <t>賠率</t>
  </si>
  <si>
    <t>實際贏得金額</t>
  </si>
  <si>
    <t>期望值</t>
  </si>
  <si>
    <t>武器箱</t>
  </si>
  <si>
    <t>小箱</t>
  </si>
  <si>
    <t>中箱</t>
  </si>
  <si>
    <t>遊戲規則&amp;機率設計</t>
    <phoneticPr fontId="1" type="noConversion"/>
  </si>
  <si>
    <t>大箱</t>
    <phoneticPr fontId="1" type="noConversion"/>
  </si>
  <si>
    <t>中獎率</t>
    <phoneticPr fontId="1" type="noConversion"/>
  </si>
  <si>
    <t>下注10</t>
    <phoneticPr fontId="1" type="noConversion"/>
  </si>
  <si>
    <t>下注20</t>
    <phoneticPr fontId="1" type="noConversion"/>
  </si>
  <si>
    <t>下注30</t>
    <phoneticPr fontId="1" type="noConversion"/>
  </si>
  <si>
    <t>下注50</t>
    <phoneticPr fontId="1" type="noConversion"/>
  </si>
  <si>
    <t>下注100</t>
    <phoneticPr fontId="1" type="noConversion"/>
  </si>
  <si>
    <t>P2000</t>
  </si>
  <si>
    <t>P250</t>
  </si>
  <si>
    <t>Glock-18</t>
  </si>
  <si>
    <t>Dual Berettas</t>
  </si>
  <si>
    <t>CZ75 Auto</t>
  </si>
  <si>
    <t>Five-SeveN</t>
  </si>
  <si>
    <t>Desert Eagle</t>
  </si>
  <si>
    <t>R8 Revolver</t>
  </si>
  <si>
    <t>Tec-9</t>
  </si>
  <si>
    <t>USP-S</t>
    <phoneticPr fontId="1" type="noConversion"/>
  </si>
  <si>
    <t>Price</t>
  </si>
  <si>
    <t>Damage</t>
  </si>
  <si>
    <t>槍</t>
    <phoneticPr fontId="1" type="noConversion"/>
  </si>
  <si>
    <t>https://docs.google.com/spreadsheets/d/11tDzUNBq9zIX6_9Rel__fdAUezAQzSnh5AVYzCP060c/edit?gid=0#gid=0</t>
    <phoneticPr fontId="1" type="noConversion"/>
  </si>
  <si>
    <t>Ref(s)</t>
    <phoneticPr fontId="1" type="noConversion"/>
  </si>
  <si>
    <t>https://www.csgodatabase.com/weapons/</t>
    <phoneticPr fontId="1" type="noConversion"/>
  </si>
  <si>
    <t>CaseRef(s)</t>
    <phoneticPr fontId="1" type="noConversion"/>
  </si>
  <si>
    <t>下注200</t>
    <phoneticPr fontId="1" type="noConversion"/>
  </si>
  <si>
    <t>箱子模型</t>
    <phoneticPr fontId="1" type="noConversion"/>
  </si>
  <si>
    <t>箱子掉落位置</t>
    <phoneticPr fontId="1" type="noConversion"/>
  </si>
  <si>
    <t>箱子旋轉</t>
    <phoneticPr fontId="1" type="noConversion"/>
  </si>
  <si>
    <t>357.48938,341.518677,344.908875</t>
    <phoneticPr fontId="1" type="noConversion"/>
  </si>
  <si>
    <t>CasePos(s)</t>
    <phoneticPr fontId="1" type="noConversion"/>
  </si>
  <si>
    <t>獎勵</t>
    <phoneticPr fontId="1" type="noConversion"/>
  </si>
  <si>
    <t>Reward(n)</t>
    <phoneticPr fontId="1" type="noConversion"/>
  </si>
  <si>
    <t>CaseRot(s)</t>
    <phoneticPr fontId="1" type="noConversion"/>
  </si>
  <si>
    <t>Glock-18</t>
    <phoneticPr fontId="1" type="noConversion"/>
  </si>
  <si>
    <t>CZ75Auto</t>
    <phoneticPr fontId="1" type="noConversion"/>
  </si>
  <si>
    <t>R8Revolver</t>
    <phoneticPr fontId="1" type="noConversion"/>
  </si>
  <si>
    <t>DualBerettas</t>
    <phoneticPr fontId="1" type="noConversion"/>
  </si>
  <si>
    <t>P2000</t>
    <phoneticPr fontId="1" type="noConversion"/>
  </si>
  <si>
    <t>P250</t>
    <phoneticPr fontId="1" type="noConversion"/>
  </si>
  <si>
    <t>Five-SeveN</t>
    <phoneticPr fontId="1" type="noConversion"/>
  </si>
  <si>
    <t>Tec-9</t>
    <phoneticPr fontId="1" type="noConversion"/>
  </si>
  <si>
    <t>DesertEagle</t>
    <phoneticPr fontId="1" type="noConversion"/>
  </si>
  <si>
    <t>-0.519999981,0.870000005,-0.310000002</t>
    <phoneticPr fontId="1" type="noConversion"/>
  </si>
  <si>
    <t>-0.529999971,0.839999974,0</t>
    <phoneticPr fontId="1" type="noConversion"/>
  </si>
  <si>
    <t>0.629999995,0.47,-0.280000001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</si>
</sst>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  <font>
      <sz val="11"/>
      <color theme="0"/>
      <name val="新細明體"/>
      <family val="1"/>
      <charset val="136"/>
      <scheme val="minor"/>
    </font>
    <font>
      <u/>
      <sz val="11"/>
      <color theme="1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10" fillId="0" borderId="0">
      <alignment vertical="center"/>
    </xf>
    <xf numFmtId="0" fontId="13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0" fontId="12" fillId="2" borderId="0" xfId="0" applyFont="1" applyFill="1"/>
    <xf numFmtId="0" fontId="2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/>
    </xf>
    <xf numFmtId="0" fontId="13" fillId="0" borderId="0" xfId="3"/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</cellXfs>
  <cellStyles count="4">
    <cellStyle name="Excel Built-in Normal" xfId="2" xr:uid="{00000000-0005-0000-0000-000000000000}"/>
    <cellStyle name="一般" xfId="0" builtinId="0"/>
    <cellStyle name="一般 2" xfId="1" xr:uid="{00000000-0005-0000-0000-000002000000}"/>
    <cellStyle name="超連結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1tDzUNBq9zIX6_9Rel__fdAUezAQzSnh5AVYzCP060c/edit?gid=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L85"/>
  <sheetViews>
    <sheetView tabSelected="1" workbookViewId="0">
      <selection activeCell="I17" sqref="I17"/>
    </sheetView>
  </sheetViews>
  <sheetFormatPr defaultColWidth="10.42578125" defaultRowHeight="15.75" x14ac:dyDescent="0.25"/>
  <cols>
    <col min="1" max="1" width="10.42578125" style="6"/>
    <col min="2" max="4" width="11" customWidth="1"/>
    <col min="5" max="5" width="14.85546875" customWidth="1"/>
    <col min="6" max="6" width="19.140625" customWidth="1"/>
    <col min="7" max="7" width="22.42578125" customWidth="1"/>
    <col min="8" max="8" width="13.140625" style="15" customWidth="1"/>
    <col min="9" max="10" width="18.42578125" style="25" customWidth="1"/>
    <col min="11" max="11" width="13.7109375" customWidth="1"/>
  </cols>
  <sheetData>
    <row r="1" spans="1:10" s="7" customFormat="1" x14ac:dyDescent="0.25">
      <c r="A1" s="7" t="s">
        <v>83</v>
      </c>
      <c r="B1" s="7" t="s">
        <v>91</v>
      </c>
      <c r="C1" s="7" t="s">
        <v>92</v>
      </c>
      <c r="D1" s="7" t="s">
        <v>141</v>
      </c>
      <c r="E1" s="7" t="s">
        <v>92</v>
      </c>
      <c r="F1" s="7" t="s">
        <v>89</v>
      </c>
      <c r="G1" s="7" t="s">
        <v>131</v>
      </c>
      <c r="H1" s="13" t="s">
        <v>133</v>
      </c>
      <c r="I1" s="24" t="s">
        <v>139</v>
      </c>
      <c r="J1" s="24" t="s">
        <v>142</v>
      </c>
    </row>
    <row r="2" spans="1:10" s="7" customFormat="1" x14ac:dyDescent="0.25">
      <c r="A2" s="7" t="s">
        <v>79</v>
      </c>
      <c r="B2" s="7" t="s">
        <v>90</v>
      </c>
      <c r="C2" s="7" t="s">
        <v>93</v>
      </c>
      <c r="D2" s="7" t="s">
        <v>140</v>
      </c>
      <c r="E2" s="7" t="s">
        <v>94</v>
      </c>
      <c r="F2" s="7" t="s">
        <v>88</v>
      </c>
      <c r="G2" s="7" t="s">
        <v>95</v>
      </c>
      <c r="H2" s="13" t="s">
        <v>135</v>
      </c>
      <c r="I2" s="24" t="s">
        <v>136</v>
      </c>
      <c r="J2" s="24" t="s">
        <v>137</v>
      </c>
    </row>
    <row r="4" spans="1:10" x14ac:dyDescent="0.25">
      <c r="B4" s="7" t="s">
        <v>112</v>
      </c>
    </row>
    <row r="5" spans="1:10" s="6" customFormat="1" x14ac:dyDescent="0.25">
      <c r="A5" s="6">
        <v>101</v>
      </c>
      <c r="B5" s="6">
        <v>10</v>
      </c>
      <c r="C5" s="6">
        <v>0</v>
      </c>
      <c r="D5" s="6">
        <f>B5*C5</f>
        <v>0</v>
      </c>
      <c r="E5" s="6">
        <f>1-SUM(E6:E14)</f>
        <v>0.252</v>
      </c>
      <c r="F5" s="6">
        <f>ROUND(1000000*E5,0)</f>
        <v>252000</v>
      </c>
      <c r="G5" s="14" t="s">
        <v>143</v>
      </c>
      <c r="H5" s="14" t="str">
        <f>"case"&amp;B5</f>
        <v>case10</v>
      </c>
      <c r="I5" s="26" t="s">
        <v>152</v>
      </c>
      <c r="J5" s="26" t="s">
        <v>138</v>
      </c>
    </row>
    <row r="6" spans="1:10" s="6" customFormat="1" x14ac:dyDescent="0.25">
      <c r="A6" s="6">
        <f>A5+1</f>
        <v>102</v>
      </c>
      <c r="B6" s="6">
        <v>10</v>
      </c>
      <c r="C6" s="6">
        <v>0.3</v>
      </c>
      <c r="D6" s="6">
        <f t="shared" ref="D6:D14" si="0">B6*C6</f>
        <v>3</v>
      </c>
      <c r="E6" s="6">
        <v>8.6999999999999994E-2</v>
      </c>
      <c r="F6" s="6">
        <f>ROUND(1000000*E6,0)</f>
        <v>87000</v>
      </c>
      <c r="G6" s="6" t="s">
        <v>147</v>
      </c>
      <c r="I6" s="26"/>
      <c r="J6" s="26"/>
    </row>
    <row r="7" spans="1:10" s="6" customFormat="1" x14ac:dyDescent="0.25">
      <c r="A7" s="6">
        <f t="shared" ref="A7:A14" si="1">A6+1</f>
        <v>103</v>
      </c>
      <c r="B7" s="6">
        <v>10</v>
      </c>
      <c r="C7" s="6">
        <v>0.6</v>
      </c>
      <c r="D7" s="6">
        <f t="shared" si="0"/>
        <v>6</v>
      </c>
      <c r="E7" s="6">
        <v>0.1</v>
      </c>
      <c r="F7" s="6">
        <f>ROUND(1000000*E7,0)</f>
        <v>100000</v>
      </c>
      <c r="G7" s="20" t="s">
        <v>126</v>
      </c>
      <c r="I7" s="26"/>
      <c r="J7" s="26"/>
    </row>
    <row r="8" spans="1:10" s="6" customFormat="1" x14ac:dyDescent="0.25">
      <c r="A8" s="6">
        <f t="shared" si="1"/>
        <v>104</v>
      </c>
      <c r="B8" s="6">
        <v>10</v>
      </c>
      <c r="C8" s="6">
        <v>0.9</v>
      </c>
      <c r="D8" s="6">
        <f t="shared" si="0"/>
        <v>9</v>
      </c>
      <c r="E8" s="6">
        <v>0.12</v>
      </c>
      <c r="F8" s="6">
        <f>ROUND(1000000*E8,0)</f>
        <v>120000</v>
      </c>
      <c r="G8" s="6" t="s">
        <v>148</v>
      </c>
      <c r="H8" s="14"/>
      <c r="I8" s="26"/>
      <c r="J8" s="26"/>
    </row>
    <row r="9" spans="1:10" s="6" customFormat="1" x14ac:dyDescent="0.25">
      <c r="A9" s="6">
        <f t="shared" si="1"/>
        <v>105</v>
      </c>
      <c r="B9" s="6">
        <v>10</v>
      </c>
      <c r="C9" s="6">
        <v>1.2</v>
      </c>
      <c r="D9" s="6">
        <f t="shared" si="0"/>
        <v>12</v>
      </c>
      <c r="E9" s="6">
        <v>0.151</v>
      </c>
      <c r="F9" s="6">
        <f>ROUND(1000000*E9,0)</f>
        <v>151000</v>
      </c>
      <c r="G9" s="20" t="s">
        <v>146</v>
      </c>
      <c r="H9" s="14"/>
      <c r="I9" s="26"/>
      <c r="J9" s="26"/>
    </row>
    <row r="10" spans="1:10" s="6" customFormat="1" x14ac:dyDescent="0.25">
      <c r="A10" s="6">
        <f t="shared" si="1"/>
        <v>106</v>
      </c>
      <c r="B10" s="6">
        <v>10</v>
      </c>
      <c r="C10" s="6">
        <v>1.5</v>
      </c>
      <c r="D10" s="6">
        <f t="shared" si="0"/>
        <v>15</v>
      </c>
      <c r="E10" s="6">
        <v>0.13</v>
      </c>
      <c r="F10" s="6">
        <f>ROUND(1000000*E10,0)</f>
        <v>130000</v>
      </c>
      <c r="G10" s="6" t="s">
        <v>144</v>
      </c>
      <c r="H10" s="14"/>
      <c r="I10" s="26"/>
      <c r="J10" s="26"/>
    </row>
    <row r="11" spans="1:10" s="6" customFormat="1" x14ac:dyDescent="0.25">
      <c r="A11" s="6">
        <f t="shared" si="1"/>
        <v>107</v>
      </c>
      <c r="B11" s="6">
        <v>10</v>
      </c>
      <c r="C11" s="6">
        <v>2</v>
      </c>
      <c r="D11" s="6">
        <f t="shared" si="0"/>
        <v>20</v>
      </c>
      <c r="E11" s="6">
        <v>0.13</v>
      </c>
      <c r="F11" s="6">
        <f>ROUND(1000000*E11,0)</f>
        <v>130000</v>
      </c>
      <c r="G11" s="6" t="s">
        <v>149</v>
      </c>
      <c r="H11" s="14"/>
      <c r="I11" s="26"/>
      <c r="J11" s="26"/>
    </row>
    <row r="12" spans="1:10" s="6" customFormat="1" x14ac:dyDescent="0.25">
      <c r="A12" s="6">
        <f t="shared" si="1"/>
        <v>108</v>
      </c>
      <c r="B12" s="6">
        <v>10</v>
      </c>
      <c r="C12" s="6">
        <v>3</v>
      </c>
      <c r="D12" s="6">
        <f t="shared" si="0"/>
        <v>30</v>
      </c>
      <c r="E12" s="6">
        <v>0.01</v>
      </c>
      <c r="F12" s="6">
        <f>ROUND(1000000*E12,0)</f>
        <v>10000</v>
      </c>
      <c r="G12" s="6" t="s">
        <v>150</v>
      </c>
      <c r="H12" s="14"/>
      <c r="I12" s="26"/>
      <c r="J12" s="26"/>
    </row>
    <row r="13" spans="1:10" s="6" customFormat="1" x14ac:dyDescent="0.25">
      <c r="A13" s="6">
        <f t="shared" si="1"/>
        <v>109</v>
      </c>
      <c r="B13" s="6">
        <v>10</v>
      </c>
      <c r="C13" s="6">
        <v>4</v>
      </c>
      <c r="D13" s="6">
        <f t="shared" si="0"/>
        <v>40</v>
      </c>
      <c r="E13" s="6">
        <v>0.01</v>
      </c>
      <c r="F13" s="6">
        <f>ROUND(1000000*E13,0)</f>
        <v>10000</v>
      </c>
      <c r="G13" s="6" t="s">
        <v>145</v>
      </c>
      <c r="H13" s="14"/>
      <c r="I13" s="26"/>
      <c r="J13" s="26"/>
    </row>
    <row r="14" spans="1:10" s="6" customFormat="1" x14ac:dyDescent="0.25">
      <c r="A14" s="6">
        <f t="shared" si="1"/>
        <v>110</v>
      </c>
      <c r="B14" s="6">
        <v>10</v>
      </c>
      <c r="C14" s="6">
        <v>5</v>
      </c>
      <c r="D14" s="6">
        <f t="shared" si="0"/>
        <v>50</v>
      </c>
      <c r="E14" s="6">
        <v>0.01</v>
      </c>
      <c r="F14" s="6">
        <f>ROUND(1000000*E14,0)</f>
        <v>10000</v>
      </c>
      <c r="G14" s="6" t="s">
        <v>151</v>
      </c>
      <c r="H14" s="14"/>
      <c r="I14" s="26"/>
      <c r="J14" s="26"/>
    </row>
    <row r="15" spans="1:10" x14ac:dyDescent="0.25">
      <c r="E15" s="19" t="str">
        <f>"總機率: "&amp;SUM(E5:E14)</f>
        <v>總機率: 1</v>
      </c>
      <c r="F15" s="19" t="str">
        <f>"總權重:"&amp;SUM(F5:F14)</f>
        <v>總權重:1000000</v>
      </c>
    </row>
    <row r="17" spans="1:12" x14ac:dyDescent="0.25">
      <c r="B17" s="7" t="s">
        <v>113</v>
      </c>
    </row>
    <row r="18" spans="1:12" s="6" customFormat="1" x14ac:dyDescent="0.25">
      <c r="A18" s="6">
        <v>201</v>
      </c>
      <c r="B18" s="6">
        <v>20</v>
      </c>
      <c r="C18" s="6">
        <v>0</v>
      </c>
      <c r="D18" s="6">
        <f>B18*C18</f>
        <v>0</v>
      </c>
      <c r="E18" s="6">
        <f>1-SUM(E19:E27)</f>
        <v>0.252</v>
      </c>
      <c r="F18" s="6">
        <f>ROUND(1000000*E18,0)</f>
        <v>252000</v>
      </c>
      <c r="G18" s="14" t="s">
        <v>143</v>
      </c>
      <c r="H18" s="14" t="str">
        <f>"case"&amp;B18</f>
        <v>case20</v>
      </c>
      <c r="I18" s="26" t="s">
        <v>152</v>
      </c>
      <c r="J18" s="26" t="s">
        <v>138</v>
      </c>
    </row>
    <row r="19" spans="1:12" s="6" customFormat="1" x14ac:dyDescent="0.25">
      <c r="A19" s="6">
        <f>A18+1</f>
        <v>202</v>
      </c>
      <c r="B19" s="6">
        <v>20</v>
      </c>
      <c r="C19" s="6">
        <v>0.3</v>
      </c>
      <c r="D19" s="6">
        <f t="shared" ref="D19:D27" si="2">B19*C19</f>
        <v>6</v>
      </c>
      <c r="E19" s="6">
        <v>8.6999999999999994E-2</v>
      </c>
      <c r="F19" s="6">
        <f>ROUND(1000000*E19,0)</f>
        <v>87000</v>
      </c>
      <c r="G19" s="6" t="s">
        <v>147</v>
      </c>
      <c r="H19" s="14"/>
      <c r="I19" s="26"/>
      <c r="J19" s="26"/>
    </row>
    <row r="20" spans="1:12" s="6" customFormat="1" x14ac:dyDescent="0.25">
      <c r="A20" s="6">
        <f t="shared" ref="A20:A27" si="3">A19+1</f>
        <v>203</v>
      </c>
      <c r="B20" s="6">
        <v>20</v>
      </c>
      <c r="C20" s="6">
        <v>0.6</v>
      </c>
      <c r="D20" s="6">
        <f t="shared" si="2"/>
        <v>12</v>
      </c>
      <c r="E20" s="6">
        <v>0.1</v>
      </c>
      <c r="F20" s="6">
        <f>ROUND(1000000*E20,0)</f>
        <v>100000</v>
      </c>
      <c r="G20" s="20" t="s">
        <v>126</v>
      </c>
      <c r="H20" s="14"/>
      <c r="I20" s="26"/>
      <c r="J20" s="26"/>
    </row>
    <row r="21" spans="1:12" s="6" customFormat="1" x14ac:dyDescent="0.25">
      <c r="A21" s="6">
        <f t="shared" si="3"/>
        <v>204</v>
      </c>
      <c r="B21" s="6">
        <v>20</v>
      </c>
      <c r="C21" s="6">
        <v>0.9</v>
      </c>
      <c r="D21" s="6">
        <f t="shared" si="2"/>
        <v>18</v>
      </c>
      <c r="E21" s="6">
        <v>0.12</v>
      </c>
      <c r="F21" s="6">
        <f>ROUND(1000000*E21,0)</f>
        <v>120000</v>
      </c>
      <c r="G21" s="6" t="s">
        <v>148</v>
      </c>
      <c r="H21" s="14"/>
      <c r="I21" s="26"/>
      <c r="J21" s="26"/>
    </row>
    <row r="22" spans="1:12" s="6" customFormat="1" x14ac:dyDescent="0.25">
      <c r="A22" s="6">
        <f t="shared" si="3"/>
        <v>205</v>
      </c>
      <c r="B22" s="6">
        <v>20</v>
      </c>
      <c r="C22" s="6">
        <v>1.2</v>
      </c>
      <c r="D22" s="6">
        <f t="shared" si="2"/>
        <v>24</v>
      </c>
      <c r="E22" s="6">
        <v>0.151</v>
      </c>
      <c r="F22" s="6">
        <f>ROUND(1000000*E22,0)</f>
        <v>151000</v>
      </c>
      <c r="G22" s="20" t="s">
        <v>146</v>
      </c>
      <c r="H22" s="14"/>
      <c r="I22" s="26"/>
      <c r="J22" s="26"/>
    </row>
    <row r="23" spans="1:12" s="6" customFormat="1" x14ac:dyDescent="0.25">
      <c r="A23" s="6">
        <f t="shared" si="3"/>
        <v>206</v>
      </c>
      <c r="B23" s="6">
        <v>20</v>
      </c>
      <c r="C23" s="6">
        <v>1.5</v>
      </c>
      <c r="D23" s="6">
        <f t="shared" si="2"/>
        <v>30</v>
      </c>
      <c r="E23" s="6">
        <v>0.13</v>
      </c>
      <c r="F23" s="6">
        <f>ROUND(1000000*E23,0)</f>
        <v>130000</v>
      </c>
      <c r="G23" s="6" t="s">
        <v>144</v>
      </c>
      <c r="H23" s="14"/>
      <c r="I23" s="26"/>
      <c r="J23" s="26"/>
      <c r="L23" s="26"/>
    </row>
    <row r="24" spans="1:12" s="6" customFormat="1" x14ac:dyDescent="0.25">
      <c r="A24" s="6">
        <f t="shared" si="3"/>
        <v>207</v>
      </c>
      <c r="B24" s="6">
        <v>20</v>
      </c>
      <c r="C24" s="6">
        <v>2</v>
      </c>
      <c r="D24" s="6">
        <f t="shared" si="2"/>
        <v>40</v>
      </c>
      <c r="E24" s="6">
        <v>0.13</v>
      </c>
      <c r="F24" s="6">
        <f>ROUND(1000000*E24,0)</f>
        <v>130000</v>
      </c>
      <c r="G24" s="6" t="s">
        <v>149</v>
      </c>
      <c r="H24" s="14"/>
      <c r="I24" s="26"/>
      <c r="J24" s="26"/>
    </row>
    <row r="25" spans="1:12" s="6" customFormat="1" x14ac:dyDescent="0.25">
      <c r="A25" s="6">
        <f t="shared" si="3"/>
        <v>208</v>
      </c>
      <c r="B25" s="6">
        <v>20</v>
      </c>
      <c r="C25" s="6">
        <v>3</v>
      </c>
      <c r="D25" s="6">
        <f t="shared" si="2"/>
        <v>60</v>
      </c>
      <c r="E25" s="6">
        <v>0.01</v>
      </c>
      <c r="F25" s="6">
        <f>ROUND(1000000*E25,0)</f>
        <v>10000</v>
      </c>
      <c r="G25" s="6" t="s">
        <v>150</v>
      </c>
      <c r="H25" s="14"/>
      <c r="I25" s="26"/>
      <c r="J25" s="26"/>
    </row>
    <row r="26" spans="1:12" s="6" customFormat="1" x14ac:dyDescent="0.25">
      <c r="A26" s="6">
        <f t="shared" si="3"/>
        <v>209</v>
      </c>
      <c r="B26" s="6">
        <v>20</v>
      </c>
      <c r="C26" s="6">
        <v>4</v>
      </c>
      <c r="D26" s="6">
        <f t="shared" si="2"/>
        <v>80</v>
      </c>
      <c r="E26" s="6">
        <v>0.01</v>
      </c>
      <c r="F26" s="6">
        <f>ROUND(1000000*E26,0)</f>
        <v>10000</v>
      </c>
      <c r="G26" s="6" t="s">
        <v>145</v>
      </c>
      <c r="H26" s="14"/>
      <c r="I26" s="26"/>
      <c r="J26" s="26"/>
    </row>
    <row r="27" spans="1:12" s="6" customFormat="1" x14ac:dyDescent="0.25">
      <c r="A27" s="6">
        <f t="shared" si="3"/>
        <v>210</v>
      </c>
      <c r="B27" s="6">
        <v>20</v>
      </c>
      <c r="C27" s="6">
        <v>5</v>
      </c>
      <c r="D27" s="6">
        <f t="shared" si="2"/>
        <v>100</v>
      </c>
      <c r="E27" s="6">
        <v>0.01</v>
      </c>
      <c r="F27" s="6">
        <f>ROUND(1000000*E27,0)</f>
        <v>10000</v>
      </c>
      <c r="G27" s="6" t="s">
        <v>151</v>
      </c>
      <c r="H27" s="14"/>
      <c r="I27" s="26"/>
      <c r="J27" s="26"/>
    </row>
    <row r="28" spans="1:12" ht="15" customHeight="1" x14ac:dyDescent="0.25">
      <c r="E28" s="19" t="str">
        <f>"總機率: "&amp;SUM(E18:E27)</f>
        <v>總機率: 1</v>
      </c>
      <c r="F28" s="19" t="str">
        <f>"總權重:"&amp;SUM(F18:F27)</f>
        <v>總權重:1000000</v>
      </c>
    </row>
    <row r="30" spans="1:12" x14ac:dyDescent="0.25">
      <c r="B30" s="7" t="s">
        <v>114</v>
      </c>
    </row>
    <row r="31" spans="1:12" s="6" customFormat="1" x14ac:dyDescent="0.25">
      <c r="A31" s="6">
        <v>301</v>
      </c>
      <c r="B31" s="6">
        <v>30</v>
      </c>
      <c r="C31" s="6">
        <v>0</v>
      </c>
      <c r="D31" s="6">
        <f>B31*C31</f>
        <v>0</v>
      </c>
      <c r="E31" s="6">
        <v>0.252</v>
      </c>
      <c r="F31" s="6">
        <v>252000</v>
      </c>
      <c r="G31" s="14" t="s">
        <v>143</v>
      </c>
      <c r="H31" s="14" t="str">
        <f>"case"&amp;B31</f>
        <v>case30</v>
      </c>
      <c r="I31" s="26" t="s">
        <v>153</v>
      </c>
      <c r="J31" s="26" t="s">
        <v>138</v>
      </c>
      <c r="L31" s="26"/>
    </row>
    <row r="32" spans="1:12" s="6" customFormat="1" x14ac:dyDescent="0.25">
      <c r="A32" s="6">
        <f>A31+1</f>
        <v>302</v>
      </c>
      <c r="B32" s="6">
        <v>30</v>
      </c>
      <c r="C32" s="6">
        <v>0.3</v>
      </c>
      <c r="D32" s="6">
        <f t="shared" ref="D32:D40" si="4">B32*C32</f>
        <v>9</v>
      </c>
      <c r="E32" s="6">
        <v>8.6999999999999994E-2</v>
      </c>
      <c r="F32" s="6">
        <v>87000</v>
      </c>
      <c r="G32" s="6" t="s">
        <v>147</v>
      </c>
      <c r="H32" s="14"/>
      <c r="I32" s="26"/>
      <c r="J32" s="26"/>
    </row>
    <row r="33" spans="1:10" s="6" customFormat="1" x14ac:dyDescent="0.25">
      <c r="A33" s="6">
        <f t="shared" ref="A33:A40" si="5">A32+1</f>
        <v>303</v>
      </c>
      <c r="B33" s="6">
        <v>30</v>
      </c>
      <c r="C33" s="6">
        <v>0.6</v>
      </c>
      <c r="D33" s="6">
        <f t="shared" si="4"/>
        <v>18</v>
      </c>
      <c r="E33" s="6">
        <v>0.1</v>
      </c>
      <c r="F33" s="6">
        <v>100000</v>
      </c>
      <c r="G33" s="20" t="s">
        <v>126</v>
      </c>
      <c r="H33" s="14"/>
      <c r="I33" s="26"/>
      <c r="J33" s="26"/>
    </row>
    <row r="34" spans="1:10" s="6" customFormat="1" x14ac:dyDescent="0.25">
      <c r="A34" s="6">
        <f t="shared" si="5"/>
        <v>304</v>
      </c>
      <c r="B34" s="6">
        <v>30</v>
      </c>
      <c r="C34" s="6">
        <v>0.9</v>
      </c>
      <c r="D34" s="6">
        <f t="shared" si="4"/>
        <v>27</v>
      </c>
      <c r="E34" s="6">
        <v>0.12</v>
      </c>
      <c r="F34" s="6">
        <v>120000</v>
      </c>
      <c r="G34" s="6" t="s">
        <v>148</v>
      </c>
      <c r="H34" s="14"/>
      <c r="I34" s="26"/>
      <c r="J34" s="26"/>
    </row>
    <row r="35" spans="1:10" s="6" customFormat="1" x14ac:dyDescent="0.25">
      <c r="A35" s="6">
        <f t="shared" si="5"/>
        <v>305</v>
      </c>
      <c r="B35" s="6">
        <v>30</v>
      </c>
      <c r="C35" s="6">
        <v>1.2</v>
      </c>
      <c r="D35" s="6">
        <f t="shared" si="4"/>
        <v>36</v>
      </c>
      <c r="E35" s="6">
        <v>0.151</v>
      </c>
      <c r="F35" s="6">
        <v>151000</v>
      </c>
      <c r="G35" s="20" t="s">
        <v>146</v>
      </c>
      <c r="H35" s="14"/>
      <c r="I35" s="26"/>
      <c r="J35" s="26"/>
    </row>
    <row r="36" spans="1:10" s="6" customFormat="1" x14ac:dyDescent="0.25">
      <c r="A36" s="6">
        <f t="shared" si="5"/>
        <v>306</v>
      </c>
      <c r="B36" s="6">
        <v>30</v>
      </c>
      <c r="C36" s="6">
        <v>1.5</v>
      </c>
      <c r="D36" s="6">
        <f t="shared" si="4"/>
        <v>45</v>
      </c>
      <c r="E36" s="6">
        <v>0.13</v>
      </c>
      <c r="F36" s="6">
        <v>130000</v>
      </c>
      <c r="G36" s="6" t="s">
        <v>144</v>
      </c>
      <c r="H36" s="14"/>
      <c r="I36" s="26"/>
      <c r="J36" s="26"/>
    </row>
    <row r="37" spans="1:10" s="6" customFormat="1" x14ac:dyDescent="0.25">
      <c r="A37" s="6">
        <f t="shared" si="5"/>
        <v>307</v>
      </c>
      <c r="B37" s="6">
        <v>30</v>
      </c>
      <c r="C37" s="6">
        <v>2</v>
      </c>
      <c r="D37" s="6">
        <f t="shared" si="4"/>
        <v>60</v>
      </c>
      <c r="E37" s="6">
        <v>0.13</v>
      </c>
      <c r="F37" s="6">
        <v>130000</v>
      </c>
      <c r="G37" s="6" t="s">
        <v>149</v>
      </c>
      <c r="H37" s="14"/>
      <c r="I37" s="26"/>
      <c r="J37" s="26"/>
    </row>
    <row r="38" spans="1:10" s="6" customFormat="1" x14ac:dyDescent="0.25">
      <c r="A38" s="6">
        <f t="shared" si="5"/>
        <v>308</v>
      </c>
      <c r="B38" s="6">
        <v>30</v>
      </c>
      <c r="C38" s="6">
        <v>3</v>
      </c>
      <c r="D38" s="6">
        <f t="shared" si="4"/>
        <v>90</v>
      </c>
      <c r="E38" s="6">
        <v>0.01</v>
      </c>
      <c r="F38" s="6">
        <v>10000</v>
      </c>
      <c r="G38" s="6" t="s">
        <v>150</v>
      </c>
      <c r="H38" s="14"/>
      <c r="I38" s="26"/>
      <c r="J38" s="26"/>
    </row>
    <row r="39" spans="1:10" s="6" customFormat="1" x14ac:dyDescent="0.25">
      <c r="A39" s="6">
        <f t="shared" si="5"/>
        <v>309</v>
      </c>
      <c r="B39" s="6">
        <v>30</v>
      </c>
      <c r="C39" s="6">
        <v>4</v>
      </c>
      <c r="D39" s="6">
        <f t="shared" si="4"/>
        <v>120</v>
      </c>
      <c r="E39" s="6">
        <v>0.01</v>
      </c>
      <c r="F39" s="6">
        <v>10000</v>
      </c>
      <c r="G39" s="6" t="s">
        <v>145</v>
      </c>
      <c r="H39" s="14"/>
      <c r="I39" s="26"/>
      <c r="J39" s="26"/>
    </row>
    <row r="40" spans="1:10" s="6" customFormat="1" x14ac:dyDescent="0.25">
      <c r="A40" s="6">
        <f t="shared" si="5"/>
        <v>310</v>
      </c>
      <c r="B40" s="6">
        <v>30</v>
      </c>
      <c r="C40" s="6">
        <v>5</v>
      </c>
      <c r="D40" s="6">
        <f t="shared" si="4"/>
        <v>150</v>
      </c>
      <c r="E40" s="6">
        <v>0.01</v>
      </c>
      <c r="F40" s="6">
        <v>10000</v>
      </c>
      <c r="G40" s="6" t="s">
        <v>151</v>
      </c>
      <c r="H40" s="14"/>
      <c r="I40" s="26"/>
      <c r="J40" s="26"/>
    </row>
    <row r="41" spans="1:10" x14ac:dyDescent="0.25">
      <c r="E41" s="19" t="str">
        <f>"總機率: "&amp;SUM(E31:E40)</f>
        <v>總機率: 1</v>
      </c>
      <c r="F41" s="19" t="str">
        <f>"總權重:"&amp;SUM(F31:F40)</f>
        <v>總權重:1000000</v>
      </c>
    </row>
    <row r="43" spans="1:10" x14ac:dyDescent="0.25">
      <c r="B43" s="7" t="s">
        <v>115</v>
      </c>
    </row>
    <row r="44" spans="1:10" s="6" customFormat="1" x14ac:dyDescent="0.25">
      <c r="A44" s="6">
        <v>401</v>
      </c>
      <c r="B44" s="6">
        <v>50</v>
      </c>
      <c r="C44" s="6">
        <v>0</v>
      </c>
      <c r="D44" s="6">
        <f>B44*C44</f>
        <v>0</v>
      </c>
      <c r="E44" s="6">
        <v>0.252</v>
      </c>
      <c r="F44" s="6">
        <v>252000</v>
      </c>
      <c r="G44" s="14" t="s">
        <v>143</v>
      </c>
      <c r="H44" s="14" t="str">
        <f>"case"&amp;B44</f>
        <v>case50</v>
      </c>
      <c r="I44" s="26" t="s">
        <v>153</v>
      </c>
      <c r="J44" s="26" t="s">
        <v>138</v>
      </c>
    </row>
    <row r="45" spans="1:10" s="6" customFormat="1" x14ac:dyDescent="0.25">
      <c r="A45" s="6">
        <f>A44+1</f>
        <v>402</v>
      </c>
      <c r="B45" s="6">
        <v>50</v>
      </c>
      <c r="C45" s="6">
        <v>0.3</v>
      </c>
      <c r="D45" s="6">
        <f t="shared" ref="D45:D53" si="6">B45*C45</f>
        <v>15</v>
      </c>
      <c r="E45" s="6">
        <v>8.6999999999999994E-2</v>
      </c>
      <c r="F45" s="6">
        <v>87000</v>
      </c>
      <c r="G45" s="6" t="s">
        <v>147</v>
      </c>
      <c r="H45" s="14"/>
      <c r="I45" s="26"/>
      <c r="J45" s="26"/>
    </row>
    <row r="46" spans="1:10" s="6" customFormat="1" x14ac:dyDescent="0.25">
      <c r="A46" s="6">
        <f t="shared" ref="A46:A53" si="7">A45+1</f>
        <v>403</v>
      </c>
      <c r="B46" s="6">
        <v>50</v>
      </c>
      <c r="C46" s="6">
        <v>0.6</v>
      </c>
      <c r="D46" s="6">
        <f t="shared" si="6"/>
        <v>30</v>
      </c>
      <c r="E46" s="6">
        <v>0.1</v>
      </c>
      <c r="F46" s="6">
        <v>100000</v>
      </c>
      <c r="G46" s="20" t="s">
        <v>126</v>
      </c>
      <c r="H46" s="14"/>
      <c r="I46" s="26"/>
      <c r="J46" s="26"/>
    </row>
    <row r="47" spans="1:10" s="6" customFormat="1" x14ac:dyDescent="0.25">
      <c r="A47" s="6">
        <f t="shared" si="7"/>
        <v>404</v>
      </c>
      <c r="B47" s="6">
        <v>50</v>
      </c>
      <c r="C47" s="6">
        <v>0.9</v>
      </c>
      <c r="D47" s="6">
        <f t="shared" si="6"/>
        <v>45</v>
      </c>
      <c r="E47" s="6">
        <v>0.12</v>
      </c>
      <c r="F47" s="6">
        <v>120000</v>
      </c>
      <c r="G47" s="6" t="s">
        <v>148</v>
      </c>
      <c r="H47" s="14"/>
      <c r="I47" s="26"/>
      <c r="J47" s="26"/>
    </row>
    <row r="48" spans="1:10" s="6" customFormat="1" x14ac:dyDescent="0.25">
      <c r="A48" s="6">
        <f t="shared" si="7"/>
        <v>405</v>
      </c>
      <c r="B48" s="6">
        <v>50</v>
      </c>
      <c r="C48" s="6">
        <v>1.2</v>
      </c>
      <c r="D48" s="6">
        <f t="shared" si="6"/>
        <v>60</v>
      </c>
      <c r="E48" s="6">
        <v>0.151</v>
      </c>
      <c r="F48" s="6">
        <v>151000</v>
      </c>
      <c r="G48" s="20" t="s">
        <v>146</v>
      </c>
      <c r="H48" s="14"/>
      <c r="I48" s="26"/>
      <c r="J48" s="26"/>
    </row>
    <row r="49" spans="1:10" s="6" customFormat="1" x14ac:dyDescent="0.25">
      <c r="A49" s="6">
        <f t="shared" si="7"/>
        <v>406</v>
      </c>
      <c r="B49" s="6">
        <v>50</v>
      </c>
      <c r="C49" s="6">
        <v>1.5</v>
      </c>
      <c r="D49" s="6">
        <f t="shared" si="6"/>
        <v>75</v>
      </c>
      <c r="E49" s="6">
        <v>0.13</v>
      </c>
      <c r="F49" s="6">
        <v>130000</v>
      </c>
      <c r="G49" s="6" t="s">
        <v>144</v>
      </c>
      <c r="H49" s="14"/>
      <c r="I49" s="26"/>
      <c r="J49" s="26"/>
    </row>
    <row r="50" spans="1:10" s="6" customFormat="1" x14ac:dyDescent="0.25">
      <c r="A50" s="6">
        <f t="shared" si="7"/>
        <v>407</v>
      </c>
      <c r="B50" s="6">
        <v>50</v>
      </c>
      <c r="C50" s="6">
        <v>2</v>
      </c>
      <c r="D50" s="6">
        <f t="shared" si="6"/>
        <v>100</v>
      </c>
      <c r="E50" s="6">
        <v>0.13</v>
      </c>
      <c r="F50" s="6">
        <v>130000</v>
      </c>
      <c r="G50" s="6" t="s">
        <v>149</v>
      </c>
      <c r="H50" s="14"/>
      <c r="I50" s="26"/>
      <c r="J50" s="26"/>
    </row>
    <row r="51" spans="1:10" s="6" customFormat="1" x14ac:dyDescent="0.25">
      <c r="A51" s="6">
        <f t="shared" si="7"/>
        <v>408</v>
      </c>
      <c r="B51" s="6">
        <v>50</v>
      </c>
      <c r="C51" s="6">
        <v>3</v>
      </c>
      <c r="D51" s="6">
        <f t="shared" si="6"/>
        <v>150</v>
      </c>
      <c r="E51" s="6">
        <v>0.01</v>
      </c>
      <c r="F51" s="6">
        <v>10000</v>
      </c>
      <c r="G51" s="6" t="s">
        <v>150</v>
      </c>
      <c r="H51" s="14"/>
      <c r="I51" s="26"/>
      <c r="J51" s="26"/>
    </row>
    <row r="52" spans="1:10" s="6" customFormat="1" x14ac:dyDescent="0.25">
      <c r="A52" s="6">
        <f t="shared" si="7"/>
        <v>409</v>
      </c>
      <c r="B52" s="6">
        <v>50</v>
      </c>
      <c r="C52" s="6">
        <v>4</v>
      </c>
      <c r="D52" s="6">
        <f t="shared" si="6"/>
        <v>200</v>
      </c>
      <c r="E52" s="6">
        <v>0.01</v>
      </c>
      <c r="F52" s="6">
        <v>10000</v>
      </c>
      <c r="G52" s="6" t="s">
        <v>145</v>
      </c>
      <c r="H52" s="14"/>
      <c r="I52" s="26"/>
      <c r="J52" s="26"/>
    </row>
    <row r="53" spans="1:10" s="6" customFormat="1" x14ac:dyDescent="0.25">
      <c r="A53" s="6">
        <f t="shared" si="7"/>
        <v>410</v>
      </c>
      <c r="B53" s="6">
        <v>50</v>
      </c>
      <c r="C53" s="6">
        <v>5</v>
      </c>
      <c r="D53" s="6">
        <f t="shared" si="6"/>
        <v>250</v>
      </c>
      <c r="E53" s="6">
        <v>0.01</v>
      </c>
      <c r="F53" s="6">
        <v>10000</v>
      </c>
      <c r="G53" s="6" t="s">
        <v>151</v>
      </c>
      <c r="H53" s="14"/>
      <c r="I53" s="26"/>
      <c r="J53" s="26"/>
    </row>
    <row r="54" spans="1:10" x14ac:dyDescent="0.25">
      <c r="E54" s="19" t="str">
        <f>"總機率: "&amp;SUM(E44:E53)</f>
        <v>總機率: 1</v>
      </c>
      <c r="F54" s="19" t="str">
        <f>"總權重:"&amp;SUM(F44:F53)</f>
        <v>總權重:1000000</v>
      </c>
    </row>
    <row r="56" spans="1:10" x14ac:dyDescent="0.25">
      <c r="B56" s="7" t="s">
        <v>116</v>
      </c>
    </row>
    <row r="57" spans="1:10" s="6" customFormat="1" x14ac:dyDescent="0.25">
      <c r="A57" s="6">
        <v>501</v>
      </c>
      <c r="B57" s="6">
        <v>100</v>
      </c>
      <c r="C57" s="6">
        <v>0</v>
      </c>
      <c r="D57" s="6">
        <f>B57*C57</f>
        <v>0</v>
      </c>
      <c r="E57" s="6">
        <v>0.252</v>
      </c>
      <c r="F57" s="6">
        <v>252000</v>
      </c>
      <c r="G57" s="14" t="s">
        <v>143</v>
      </c>
      <c r="H57" s="14" t="str">
        <f>"case"&amp;B57</f>
        <v>case100</v>
      </c>
      <c r="I57" s="26" t="s">
        <v>154</v>
      </c>
      <c r="J57" s="26" t="s">
        <v>138</v>
      </c>
    </row>
    <row r="58" spans="1:10" s="6" customFormat="1" x14ac:dyDescent="0.25">
      <c r="A58" s="6">
        <f>A57+1</f>
        <v>502</v>
      </c>
      <c r="B58" s="6">
        <v>100</v>
      </c>
      <c r="C58" s="6">
        <v>0.3</v>
      </c>
      <c r="D58" s="6">
        <f t="shared" ref="D58:D66" si="8">B58*C58</f>
        <v>30</v>
      </c>
      <c r="E58" s="6">
        <v>8.6999999999999994E-2</v>
      </c>
      <c r="F58" s="6">
        <v>87000</v>
      </c>
      <c r="G58" s="6" t="s">
        <v>147</v>
      </c>
      <c r="H58" s="14"/>
      <c r="I58" s="26"/>
      <c r="J58" s="26"/>
    </row>
    <row r="59" spans="1:10" s="6" customFormat="1" x14ac:dyDescent="0.25">
      <c r="A59" s="6">
        <f t="shared" ref="A59:A66" si="9">A58+1</f>
        <v>503</v>
      </c>
      <c r="B59" s="6">
        <v>100</v>
      </c>
      <c r="C59" s="6">
        <v>0.6</v>
      </c>
      <c r="D59" s="6">
        <f t="shared" si="8"/>
        <v>60</v>
      </c>
      <c r="E59" s="6">
        <v>0.1</v>
      </c>
      <c r="F59" s="6">
        <v>100000</v>
      </c>
      <c r="G59" s="20" t="s">
        <v>126</v>
      </c>
      <c r="H59" s="14"/>
      <c r="I59" s="26"/>
      <c r="J59" s="26"/>
    </row>
    <row r="60" spans="1:10" s="6" customFormat="1" x14ac:dyDescent="0.25">
      <c r="A60" s="6">
        <f t="shared" si="9"/>
        <v>504</v>
      </c>
      <c r="B60" s="6">
        <v>100</v>
      </c>
      <c r="C60" s="6">
        <v>0.9</v>
      </c>
      <c r="D60" s="6">
        <f t="shared" si="8"/>
        <v>90</v>
      </c>
      <c r="E60" s="6">
        <v>0.12</v>
      </c>
      <c r="F60" s="6">
        <v>120000</v>
      </c>
      <c r="G60" s="6" t="s">
        <v>148</v>
      </c>
      <c r="H60" s="14"/>
      <c r="I60" s="26"/>
      <c r="J60" s="26"/>
    </row>
    <row r="61" spans="1:10" s="6" customFormat="1" x14ac:dyDescent="0.25">
      <c r="A61" s="6">
        <f t="shared" si="9"/>
        <v>505</v>
      </c>
      <c r="B61" s="6">
        <v>100</v>
      </c>
      <c r="C61" s="6">
        <v>1.2</v>
      </c>
      <c r="D61" s="6">
        <f t="shared" si="8"/>
        <v>120</v>
      </c>
      <c r="E61" s="6">
        <v>0.151</v>
      </c>
      <c r="F61" s="6">
        <v>151000</v>
      </c>
      <c r="G61" s="20" t="s">
        <v>146</v>
      </c>
      <c r="H61" s="14"/>
      <c r="I61" s="26"/>
      <c r="J61" s="26"/>
    </row>
    <row r="62" spans="1:10" s="6" customFormat="1" x14ac:dyDescent="0.25">
      <c r="A62" s="6">
        <f t="shared" si="9"/>
        <v>506</v>
      </c>
      <c r="B62" s="6">
        <v>100</v>
      </c>
      <c r="C62" s="6">
        <v>1.5</v>
      </c>
      <c r="D62" s="6">
        <f t="shared" si="8"/>
        <v>150</v>
      </c>
      <c r="E62" s="6">
        <v>0.13</v>
      </c>
      <c r="F62" s="6">
        <v>130000</v>
      </c>
      <c r="G62" s="6" t="s">
        <v>144</v>
      </c>
      <c r="H62" s="14"/>
      <c r="I62" s="26"/>
      <c r="J62" s="26"/>
    </row>
    <row r="63" spans="1:10" s="6" customFormat="1" x14ac:dyDescent="0.25">
      <c r="A63" s="6">
        <f t="shared" si="9"/>
        <v>507</v>
      </c>
      <c r="B63" s="6">
        <v>100</v>
      </c>
      <c r="C63" s="6">
        <v>2</v>
      </c>
      <c r="D63" s="6">
        <f t="shared" si="8"/>
        <v>200</v>
      </c>
      <c r="E63" s="6">
        <v>0.13</v>
      </c>
      <c r="F63" s="6">
        <v>130000</v>
      </c>
      <c r="G63" s="6" t="s">
        <v>149</v>
      </c>
      <c r="H63" s="14"/>
      <c r="I63" s="26"/>
      <c r="J63" s="26"/>
    </row>
    <row r="64" spans="1:10" s="6" customFormat="1" x14ac:dyDescent="0.25">
      <c r="A64" s="6">
        <f t="shared" si="9"/>
        <v>508</v>
      </c>
      <c r="B64" s="6">
        <v>100</v>
      </c>
      <c r="C64" s="6">
        <v>3</v>
      </c>
      <c r="D64" s="6">
        <f t="shared" si="8"/>
        <v>300</v>
      </c>
      <c r="E64" s="6">
        <v>0.01</v>
      </c>
      <c r="F64" s="6">
        <v>10000</v>
      </c>
      <c r="G64" s="6" t="s">
        <v>150</v>
      </c>
      <c r="H64" s="14"/>
      <c r="I64" s="26"/>
      <c r="J64" s="26"/>
    </row>
    <row r="65" spans="1:10" s="6" customFormat="1" x14ac:dyDescent="0.25">
      <c r="A65" s="6">
        <f t="shared" si="9"/>
        <v>509</v>
      </c>
      <c r="B65" s="6">
        <v>100</v>
      </c>
      <c r="C65" s="6">
        <v>4</v>
      </c>
      <c r="D65" s="6">
        <f t="shared" si="8"/>
        <v>400</v>
      </c>
      <c r="E65" s="6">
        <v>0.01</v>
      </c>
      <c r="F65" s="6">
        <v>10000</v>
      </c>
      <c r="G65" s="6" t="s">
        <v>145</v>
      </c>
      <c r="H65" s="14"/>
      <c r="I65" s="26"/>
      <c r="J65" s="26"/>
    </row>
    <row r="66" spans="1:10" s="6" customFormat="1" x14ac:dyDescent="0.25">
      <c r="A66" s="6">
        <f t="shared" si="9"/>
        <v>510</v>
      </c>
      <c r="B66" s="6">
        <v>100</v>
      </c>
      <c r="C66" s="6">
        <v>5</v>
      </c>
      <c r="D66" s="6">
        <f t="shared" si="8"/>
        <v>500</v>
      </c>
      <c r="E66" s="6">
        <v>0.01</v>
      </c>
      <c r="F66" s="6">
        <v>10000</v>
      </c>
      <c r="G66" s="6" t="s">
        <v>151</v>
      </c>
      <c r="H66" s="14"/>
      <c r="I66" s="26"/>
      <c r="J66" s="26"/>
    </row>
    <row r="67" spans="1:10" x14ac:dyDescent="0.25">
      <c r="E67" s="19" t="str">
        <f>"總機率: "&amp;SUM(E57:E66)</f>
        <v>總機率: 1</v>
      </c>
      <c r="F67" s="19" t="str">
        <f>"總權重:"&amp;SUM(F57:F66)</f>
        <v>總權重:1000000</v>
      </c>
    </row>
    <row r="69" spans="1:10" x14ac:dyDescent="0.25">
      <c r="B69" s="7" t="s">
        <v>134</v>
      </c>
    </row>
    <row r="70" spans="1:10" s="6" customFormat="1" x14ac:dyDescent="0.25">
      <c r="A70" s="6">
        <v>601</v>
      </c>
      <c r="B70" s="6">
        <v>200</v>
      </c>
      <c r="C70" s="6">
        <v>0</v>
      </c>
      <c r="D70" s="6">
        <f>B70*C70</f>
        <v>0</v>
      </c>
      <c r="E70" s="6">
        <v>0.252</v>
      </c>
      <c r="F70" s="6">
        <v>252000</v>
      </c>
      <c r="G70" s="14" t="s">
        <v>143</v>
      </c>
      <c r="H70" s="14" t="str">
        <f>"case"&amp;B70</f>
        <v>case200</v>
      </c>
      <c r="I70" s="26" t="s">
        <v>154</v>
      </c>
      <c r="J70" s="26" t="s">
        <v>138</v>
      </c>
    </row>
    <row r="71" spans="1:10" s="6" customFormat="1" x14ac:dyDescent="0.25">
      <c r="A71" s="6">
        <f>A70+1</f>
        <v>602</v>
      </c>
      <c r="B71" s="6">
        <v>200</v>
      </c>
      <c r="C71" s="6">
        <v>0.3</v>
      </c>
      <c r="D71" s="6">
        <f t="shared" ref="D71:D79" si="10">B71*C71</f>
        <v>60</v>
      </c>
      <c r="E71" s="6">
        <v>8.6999999999999994E-2</v>
      </c>
      <c r="F71" s="6">
        <v>87000</v>
      </c>
      <c r="G71" s="6" t="s">
        <v>147</v>
      </c>
      <c r="H71" s="14"/>
      <c r="I71" s="26"/>
      <c r="J71" s="26"/>
    </row>
    <row r="72" spans="1:10" s="6" customFormat="1" x14ac:dyDescent="0.25">
      <c r="A72" s="6">
        <f t="shared" ref="A72:A79" si="11">A71+1</f>
        <v>603</v>
      </c>
      <c r="B72" s="6">
        <v>200</v>
      </c>
      <c r="C72" s="6">
        <v>0.6</v>
      </c>
      <c r="D72" s="6">
        <f t="shared" si="10"/>
        <v>120</v>
      </c>
      <c r="E72" s="6">
        <v>0.1</v>
      </c>
      <c r="F72" s="6">
        <v>100000</v>
      </c>
      <c r="G72" s="20" t="s">
        <v>126</v>
      </c>
      <c r="H72" s="14"/>
      <c r="I72" s="26"/>
      <c r="J72" s="26"/>
    </row>
    <row r="73" spans="1:10" s="6" customFormat="1" x14ac:dyDescent="0.25">
      <c r="A73" s="6">
        <f t="shared" si="11"/>
        <v>604</v>
      </c>
      <c r="B73" s="6">
        <v>200</v>
      </c>
      <c r="C73" s="6">
        <v>0.9</v>
      </c>
      <c r="D73" s="6">
        <f t="shared" si="10"/>
        <v>180</v>
      </c>
      <c r="E73" s="6">
        <v>0.12</v>
      </c>
      <c r="F73" s="6">
        <v>120000</v>
      </c>
      <c r="G73" s="6" t="s">
        <v>148</v>
      </c>
      <c r="H73" s="14"/>
      <c r="I73" s="26"/>
      <c r="J73" s="26"/>
    </row>
    <row r="74" spans="1:10" s="6" customFormat="1" x14ac:dyDescent="0.25">
      <c r="A74" s="6">
        <f t="shared" si="11"/>
        <v>605</v>
      </c>
      <c r="B74" s="6">
        <v>200</v>
      </c>
      <c r="C74" s="6">
        <v>1.2</v>
      </c>
      <c r="D74" s="6">
        <f t="shared" si="10"/>
        <v>240</v>
      </c>
      <c r="E74" s="6">
        <v>0.151</v>
      </c>
      <c r="F74" s="6">
        <v>151000</v>
      </c>
      <c r="G74" s="20" t="s">
        <v>146</v>
      </c>
      <c r="H74" s="14"/>
      <c r="I74" s="26"/>
      <c r="J74" s="26"/>
    </row>
    <row r="75" spans="1:10" s="6" customFormat="1" x14ac:dyDescent="0.25">
      <c r="A75" s="6">
        <f t="shared" si="11"/>
        <v>606</v>
      </c>
      <c r="B75" s="6">
        <v>200</v>
      </c>
      <c r="C75" s="6">
        <v>1.5</v>
      </c>
      <c r="D75" s="6">
        <f t="shared" si="10"/>
        <v>300</v>
      </c>
      <c r="E75" s="6">
        <v>0.13</v>
      </c>
      <c r="F75" s="6">
        <v>130000</v>
      </c>
      <c r="G75" s="6" t="s">
        <v>144</v>
      </c>
      <c r="H75" s="14"/>
      <c r="I75" s="26"/>
      <c r="J75" s="26"/>
    </row>
    <row r="76" spans="1:10" s="6" customFormat="1" x14ac:dyDescent="0.25">
      <c r="A76" s="6">
        <f t="shared" si="11"/>
        <v>607</v>
      </c>
      <c r="B76" s="6">
        <v>200</v>
      </c>
      <c r="C76" s="6">
        <v>2</v>
      </c>
      <c r="D76" s="6">
        <f t="shared" si="10"/>
        <v>400</v>
      </c>
      <c r="E76" s="6">
        <v>0.13</v>
      </c>
      <c r="F76" s="6">
        <v>130000</v>
      </c>
      <c r="G76" s="6" t="s">
        <v>149</v>
      </c>
      <c r="H76" s="14"/>
      <c r="I76" s="26"/>
      <c r="J76" s="26"/>
    </row>
    <row r="77" spans="1:10" s="6" customFormat="1" x14ac:dyDescent="0.25">
      <c r="A77" s="6">
        <f t="shared" si="11"/>
        <v>608</v>
      </c>
      <c r="B77" s="6">
        <v>200</v>
      </c>
      <c r="C77" s="6">
        <v>3</v>
      </c>
      <c r="D77" s="6">
        <f t="shared" si="10"/>
        <v>600</v>
      </c>
      <c r="E77" s="6">
        <v>0.01</v>
      </c>
      <c r="F77" s="6">
        <v>10000</v>
      </c>
      <c r="G77" s="6" t="s">
        <v>150</v>
      </c>
      <c r="H77" s="14"/>
      <c r="I77" s="26"/>
      <c r="J77" s="26"/>
    </row>
    <row r="78" spans="1:10" s="6" customFormat="1" x14ac:dyDescent="0.25">
      <c r="A78" s="6">
        <f t="shared" si="11"/>
        <v>609</v>
      </c>
      <c r="B78" s="6">
        <v>200</v>
      </c>
      <c r="C78" s="6">
        <v>4</v>
      </c>
      <c r="D78" s="6">
        <f t="shared" si="10"/>
        <v>800</v>
      </c>
      <c r="E78" s="6">
        <v>0.01</v>
      </c>
      <c r="F78" s="6">
        <v>10000</v>
      </c>
      <c r="G78" s="6" t="s">
        <v>145</v>
      </c>
      <c r="H78" s="14"/>
      <c r="I78" s="26"/>
      <c r="J78" s="26"/>
    </row>
    <row r="79" spans="1:10" s="6" customFormat="1" x14ac:dyDescent="0.25">
      <c r="A79" s="6">
        <f t="shared" si="11"/>
        <v>610</v>
      </c>
      <c r="B79" s="6">
        <v>200</v>
      </c>
      <c r="C79" s="6">
        <v>5</v>
      </c>
      <c r="D79" s="6">
        <f t="shared" si="10"/>
        <v>1000</v>
      </c>
      <c r="E79" s="6">
        <v>0.01</v>
      </c>
      <c r="F79" s="6">
        <v>10000</v>
      </c>
      <c r="G79" s="6" t="s">
        <v>151</v>
      </c>
      <c r="H79" s="14"/>
      <c r="I79" s="26"/>
      <c r="J79" s="26"/>
    </row>
    <row r="80" spans="1:10" x14ac:dyDescent="0.25">
      <c r="E80" s="19" t="str">
        <f>"總機率: "&amp;SUM(E70:E79)</f>
        <v>總機率: 1</v>
      </c>
      <c r="F80" s="19" t="str">
        <f>"總權重:"&amp;SUM(F70:F79)</f>
        <v>總權重:1000000</v>
      </c>
    </row>
    <row r="85" spans="1:1" x14ac:dyDescent="0.25">
      <c r="A85" s="11" t="s">
        <v>82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79D30-F45C-46C2-B741-EFC5A8E4415F}">
  <sheetPr codeName="工作表2"/>
  <dimension ref="B3:H53"/>
  <sheetViews>
    <sheetView workbookViewId="0">
      <selection activeCell="F16" sqref="F16:G25"/>
    </sheetView>
  </sheetViews>
  <sheetFormatPr defaultRowHeight="15.75" x14ac:dyDescent="0.25"/>
  <cols>
    <col min="5" max="5" width="16.5703125" customWidth="1"/>
    <col min="6" max="6" width="19.5703125" customWidth="1"/>
    <col min="7" max="7" width="18.28515625" customWidth="1"/>
    <col min="8" max="8" width="22.5703125" customWidth="1"/>
    <col min="9" max="9" width="18.7109375" customWidth="1"/>
  </cols>
  <sheetData>
    <row r="3" spans="2:8" x14ac:dyDescent="0.25">
      <c r="B3" s="1" t="s">
        <v>109</v>
      </c>
      <c r="C3" s="16"/>
      <c r="D3" s="16"/>
    </row>
    <row r="5" spans="2:8" x14ac:dyDescent="0.25">
      <c r="B5">
        <v>1</v>
      </c>
      <c r="C5" t="s">
        <v>97</v>
      </c>
    </row>
    <row r="6" spans="2:8" x14ac:dyDescent="0.25">
      <c r="B6">
        <v>2</v>
      </c>
      <c r="C6" t="s">
        <v>98</v>
      </c>
    </row>
    <row r="7" spans="2:8" x14ac:dyDescent="0.25">
      <c r="B7">
        <v>3</v>
      </c>
      <c r="C7" t="s">
        <v>99</v>
      </c>
    </row>
    <row r="8" spans="2:8" x14ac:dyDescent="0.25">
      <c r="B8">
        <v>4</v>
      </c>
      <c r="C8" t="s">
        <v>100</v>
      </c>
    </row>
    <row r="9" spans="2:8" x14ac:dyDescent="0.25">
      <c r="D9" s="19"/>
      <c r="E9" s="19"/>
      <c r="F9" s="19"/>
      <c r="G9" s="19"/>
      <c r="H9" s="19"/>
    </row>
    <row r="10" spans="2:8" x14ac:dyDescent="0.25">
      <c r="D10" s="17" t="s">
        <v>101</v>
      </c>
      <c r="E10" s="19"/>
      <c r="F10" s="19"/>
      <c r="G10" s="19"/>
      <c r="H10" s="19"/>
    </row>
    <row r="11" spans="2:8" x14ac:dyDescent="0.25">
      <c r="D11" s="18">
        <v>0.95</v>
      </c>
      <c r="E11" s="19"/>
      <c r="F11" s="19"/>
      <c r="G11" s="19"/>
      <c r="H11" s="19"/>
    </row>
    <row r="12" spans="2:8" x14ac:dyDescent="0.25">
      <c r="D12" s="17" t="s">
        <v>102</v>
      </c>
      <c r="E12" s="19"/>
      <c r="F12" s="19"/>
      <c r="G12" s="19"/>
      <c r="H12" s="19"/>
    </row>
    <row r="13" spans="2:8" x14ac:dyDescent="0.25">
      <c r="D13" s="18">
        <v>10</v>
      </c>
      <c r="E13" s="19"/>
      <c r="F13" s="19"/>
      <c r="G13" s="19"/>
      <c r="H13" s="19"/>
    </row>
    <row r="14" spans="2:8" x14ac:dyDescent="0.25">
      <c r="D14" s="19"/>
      <c r="E14" s="19"/>
      <c r="F14" s="19"/>
      <c r="G14" s="19"/>
      <c r="H14" s="19"/>
    </row>
    <row r="15" spans="2:8" x14ac:dyDescent="0.25">
      <c r="D15" s="7" t="s">
        <v>103</v>
      </c>
      <c r="E15" s="7" t="s">
        <v>104</v>
      </c>
      <c r="F15" s="7" t="s">
        <v>111</v>
      </c>
      <c r="G15" s="7" t="s">
        <v>88</v>
      </c>
      <c r="H15" s="7" t="s">
        <v>105</v>
      </c>
    </row>
    <row r="16" spans="2:8" x14ac:dyDescent="0.25">
      <c r="D16" s="6">
        <v>0</v>
      </c>
      <c r="E16" s="6">
        <f>D$13*D16</f>
        <v>0</v>
      </c>
      <c r="F16" s="6">
        <f>1-SUM(F17:F25)</f>
        <v>0.252</v>
      </c>
      <c r="G16" s="6">
        <f>ROUND(1000000*F16,0)</f>
        <v>252000</v>
      </c>
      <c r="H16" s="6">
        <f>E16*F16</f>
        <v>0</v>
      </c>
    </row>
    <row r="17" spans="4:8" x14ac:dyDescent="0.25">
      <c r="D17" s="6">
        <v>0.3</v>
      </c>
      <c r="E17" s="6">
        <f t="shared" ref="E17:E25" si="0">D$13*D17</f>
        <v>3</v>
      </c>
      <c r="F17" s="6">
        <v>8.6999999999999994E-2</v>
      </c>
      <c r="G17" s="6">
        <f>ROUND(1000000*F17,0)</f>
        <v>87000</v>
      </c>
      <c r="H17" s="6">
        <f t="shared" ref="H17:H25" si="1">E17*F17</f>
        <v>0.26100000000000001</v>
      </c>
    </row>
    <row r="18" spans="4:8" x14ac:dyDescent="0.25">
      <c r="D18" s="6">
        <v>0.6</v>
      </c>
      <c r="E18" s="6">
        <f t="shared" si="0"/>
        <v>6</v>
      </c>
      <c r="F18" s="6">
        <v>0.1</v>
      </c>
      <c r="G18" s="6">
        <f>ROUND(1000000*F18,0)</f>
        <v>100000</v>
      </c>
      <c r="H18" s="6">
        <f t="shared" si="1"/>
        <v>0.60000000000000009</v>
      </c>
    </row>
    <row r="19" spans="4:8" x14ac:dyDescent="0.25">
      <c r="D19" s="6">
        <v>0.9</v>
      </c>
      <c r="E19" s="6">
        <f t="shared" si="0"/>
        <v>9</v>
      </c>
      <c r="F19" s="6">
        <v>0.12</v>
      </c>
      <c r="G19" s="6">
        <f>ROUND(1000000*F19,0)</f>
        <v>120000</v>
      </c>
      <c r="H19" s="6">
        <f t="shared" si="1"/>
        <v>1.08</v>
      </c>
    </row>
    <row r="20" spans="4:8" x14ac:dyDescent="0.25">
      <c r="D20" s="6">
        <v>1.2</v>
      </c>
      <c r="E20" s="6">
        <f t="shared" si="0"/>
        <v>12</v>
      </c>
      <c r="F20" s="6">
        <v>0.151</v>
      </c>
      <c r="G20" s="6">
        <f>ROUND(1000000*F20,0)</f>
        <v>151000</v>
      </c>
      <c r="H20" s="6">
        <f t="shared" si="1"/>
        <v>1.8119999999999998</v>
      </c>
    </row>
    <row r="21" spans="4:8" x14ac:dyDescent="0.25">
      <c r="D21" s="6">
        <v>1.5</v>
      </c>
      <c r="E21" s="6">
        <f t="shared" si="0"/>
        <v>15</v>
      </c>
      <c r="F21" s="6">
        <v>0.13</v>
      </c>
      <c r="G21" s="6">
        <f>ROUND(1000000*F21,0)</f>
        <v>130000</v>
      </c>
      <c r="H21" s="6">
        <f t="shared" si="1"/>
        <v>1.9500000000000002</v>
      </c>
    </row>
    <row r="22" spans="4:8" x14ac:dyDescent="0.25">
      <c r="D22" s="6">
        <v>2</v>
      </c>
      <c r="E22" s="6">
        <f t="shared" si="0"/>
        <v>20</v>
      </c>
      <c r="F22" s="6">
        <v>0.13</v>
      </c>
      <c r="G22" s="6">
        <f>ROUND(1000000*F22,0)</f>
        <v>130000</v>
      </c>
      <c r="H22" s="6">
        <f t="shared" si="1"/>
        <v>2.6</v>
      </c>
    </row>
    <row r="23" spans="4:8" x14ac:dyDescent="0.25">
      <c r="D23" s="6">
        <v>3</v>
      </c>
      <c r="E23" s="6">
        <f t="shared" si="0"/>
        <v>30</v>
      </c>
      <c r="F23" s="6">
        <v>0.01</v>
      </c>
      <c r="G23" s="6">
        <f>ROUND(1000000*F23,0)</f>
        <v>10000</v>
      </c>
      <c r="H23" s="6">
        <f t="shared" si="1"/>
        <v>0.3</v>
      </c>
    </row>
    <row r="24" spans="4:8" x14ac:dyDescent="0.25">
      <c r="D24" s="6">
        <v>4</v>
      </c>
      <c r="E24" s="6">
        <f t="shared" si="0"/>
        <v>40</v>
      </c>
      <c r="F24" s="6">
        <v>0.01</v>
      </c>
      <c r="G24" s="6">
        <f>ROUND(1000000*F24,0)</f>
        <v>10000</v>
      </c>
      <c r="H24" s="6">
        <f t="shared" si="1"/>
        <v>0.4</v>
      </c>
    </row>
    <row r="25" spans="4:8" x14ac:dyDescent="0.25">
      <c r="D25" s="6">
        <v>5</v>
      </c>
      <c r="E25" s="6">
        <f t="shared" si="0"/>
        <v>50</v>
      </c>
      <c r="F25" s="6">
        <v>0.01</v>
      </c>
      <c r="G25" s="6">
        <f>ROUND(1000000*F25,0)</f>
        <v>10000</v>
      </c>
      <c r="H25" s="6">
        <f t="shared" si="1"/>
        <v>0.5</v>
      </c>
    </row>
    <row r="26" spans="4:8" x14ac:dyDescent="0.25">
      <c r="D26" s="19"/>
      <c r="E26" s="19"/>
      <c r="F26" s="19" t="str">
        <f>"總機率: "&amp;SUM(F16:F25)</f>
        <v>總機率: 1</v>
      </c>
      <c r="G26" s="19" t="str">
        <f>"總權重:"&amp;SUM(G16:G25)</f>
        <v>總權重:1000000</v>
      </c>
      <c r="H26" s="19">
        <f>SUM(H16:H25)/D13</f>
        <v>0.95030000000000014</v>
      </c>
    </row>
    <row r="29" spans="4:8" x14ac:dyDescent="0.25">
      <c r="D29" s="17" t="s">
        <v>102</v>
      </c>
      <c r="E29" s="17" t="s">
        <v>106</v>
      </c>
    </row>
    <row r="30" spans="4:8" x14ac:dyDescent="0.25">
      <c r="D30" s="18">
        <v>10</v>
      </c>
      <c r="E30" s="19" t="s">
        <v>107</v>
      </c>
    </row>
    <row r="31" spans="4:8" x14ac:dyDescent="0.25">
      <c r="D31" s="18">
        <v>20</v>
      </c>
      <c r="E31" s="19" t="s">
        <v>108</v>
      </c>
    </row>
    <row r="32" spans="4:8" x14ac:dyDescent="0.25">
      <c r="D32" s="18">
        <v>30</v>
      </c>
      <c r="E32" s="19" t="s">
        <v>108</v>
      </c>
    </row>
    <row r="33" spans="4:7" x14ac:dyDescent="0.25">
      <c r="D33" s="18">
        <v>50</v>
      </c>
      <c r="E33" s="19" t="s">
        <v>110</v>
      </c>
    </row>
    <row r="34" spans="4:7" x14ac:dyDescent="0.25">
      <c r="D34" s="18">
        <v>100</v>
      </c>
      <c r="E34" s="19" t="s">
        <v>110</v>
      </c>
    </row>
    <row r="41" spans="4:7" x14ac:dyDescent="0.25">
      <c r="E41" s="7" t="s">
        <v>129</v>
      </c>
      <c r="F41" s="7" t="s">
        <v>127</v>
      </c>
      <c r="G41" s="7" t="s">
        <v>128</v>
      </c>
    </row>
    <row r="42" spans="4:7" x14ac:dyDescent="0.25">
      <c r="E42" s="6" t="s">
        <v>119</v>
      </c>
      <c r="F42" s="21">
        <v>200</v>
      </c>
      <c r="G42" s="6">
        <v>30</v>
      </c>
    </row>
    <row r="43" spans="4:7" x14ac:dyDescent="0.25">
      <c r="E43" s="6" t="s">
        <v>117</v>
      </c>
      <c r="F43" s="21">
        <v>200</v>
      </c>
      <c r="G43" s="6">
        <v>35</v>
      </c>
    </row>
    <row r="44" spans="4:7" x14ac:dyDescent="0.25">
      <c r="E44" s="6" t="s">
        <v>126</v>
      </c>
      <c r="F44" s="21">
        <v>200</v>
      </c>
      <c r="G44" s="6">
        <v>35</v>
      </c>
    </row>
    <row r="45" spans="4:7" x14ac:dyDescent="0.25">
      <c r="E45" s="6" t="s">
        <v>118</v>
      </c>
      <c r="F45" s="22">
        <v>300</v>
      </c>
      <c r="G45" s="19">
        <v>38</v>
      </c>
    </row>
    <row r="46" spans="4:7" x14ac:dyDescent="0.25">
      <c r="E46" s="6" t="s">
        <v>120</v>
      </c>
      <c r="F46" s="21">
        <v>300</v>
      </c>
      <c r="G46" s="6">
        <v>38</v>
      </c>
    </row>
    <row r="47" spans="4:7" x14ac:dyDescent="0.25">
      <c r="E47" s="19" t="s">
        <v>121</v>
      </c>
      <c r="F47" s="22">
        <v>500</v>
      </c>
      <c r="G47" s="19">
        <v>31</v>
      </c>
    </row>
    <row r="48" spans="4:7" x14ac:dyDescent="0.25">
      <c r="E48" s="6" t="s">
        <v>122</v>
      </c>
      <c r="F48" s="21">
        <v>500</v>
      </c>
      <c r="G48" s="6">
        <v>32</v>
      </c>
    </row>
    <row r="49" spans="5:7" x14ac:dyDescent="0.25">
      <c r="E49" s="6" t="s">
        <v>125</v>
      </c>
      <c r="F49" s="21">
        <v>500</v>
      </c>
      <c r="G49" s="6">
        <v>33</v>
      </c>
    </row>
    <row r="50" spans="5:7" x14ac:dyDescent="0.25">
      <c r="E50" s="6" t="s">
        <v>124</v>
      </c>
      <c r="F50" s="21">
        <v>600</v>
      </c>
      <c r="G50" s="6">
        <v>86</v>
      </c>
    </row>
    <row r="51" spans="5:7" x14ac:dyDescent="0.25">
      <c r="E51" s="6" t="s">
        <v>123</v>
      </c>
      <c r="F51" s="21">
        <v>700</v>
      </c>
      <c r="G51" s="6">
        <v>53</v>
      </c>
    </row>
    <row r="52" spans="5:7" x14ac:dyDescent="0.25">
      <c r="E52" s="23" t="s">
        <v>130</v>
      </c>
    </row>
    <row r="53" spans="5:7" x14ac:dyDescent="0.25">
      <c r="E53" s="23" t="s">
        <v>132</v>
      </c>
    </row>
  </sheetData>
  <phoneticPr fontId="1" type="noConversion"/>
  <hyperlinks>
    <hyperlink ref="E52" r:id="rId1" location="gid=0" xr:uid="{96290CEB-8DD8-42F8-96E1-9CB3A6542FB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87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workbookViewId="0">
      <selection activeCell="B1" sqref="B1"/>
    </sheetView>
  </sheetViews>
  <sheetFormatPr defaultRowHeight="15.75" x14ac:dyDescent="0.2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 x14ac:dyDescent="0.25">
      <c r="A1" s="10" t="s">
        <v>81</v>
      </c>
      <c r="B1" s="12" t="s">
        <v>96</v>
      </c>
    </row>
    <row r="2" spans="1:6" x14ac:dyDescent="0.25">
      <c r="A2" s="10"/>
      <c r="B2" s="12"/>
    </row>
    <row r="6" spans="1:6" x14ac:dyDescent="0.25">
      <c r="A6" s="2"/>
    </row>
    <row r="9" spans="1:6" ht="16.5" x14ac:dyDescent="0.25">
      <c r="A9" s="3" t="s">
        <v>84</v>
      </c>
      <c r="B9" s="3" t="s">
        <v>76</v>
      </c>
      <c r="C9" s="3" t="s">
        <v>85</v>
      </c>
      <c r="D9" s="3" t="s">
        <v>76</v>
      </c>
      <c r="E9" s="3" t="s">
        <v>86</v>
      </c>
      <c r="F9" s="3" t="s">
        <v>76</v>
      </c>
    </row>
    <row r="10" spans="1:6" x14ac:dyDescent="0.25">
      <c r="B10" s="9"/>
    </row>
    <row r="11" spans="1:6" x14ac:dyDescent="0.25">
      <c r="B11" s="9"/>
    </row>
    <row r="12" spans="1:6" x14ac:dyDescent="0.25">
      <c r="B12" s="9"/>
    </row>
    <row r="13" spans="1:6" x14ac:dyDescent="0.25">
      <c r="B13" s="9"/>
    </row>
    <row r="14" spans="1:6" x14ac:dyDescent="0.25">
      <c r="B14" s="9"/>
    </row>
    <row r="15" spans="1:6" x14ac:dyDescent="0.25">
      <c r="B15" s="9"/>
    </row>
    <row r="16" spans="1:6" x14ac:dyDescent="0.25">
      <c r="B16" s="9"/>
    </row>
    <row r="17" spans="2:2" x14ac:dyDescent="0.25">
      <c r="B17" s="9"/>
    </row>
    <row r="18" spans="2:2" x14ac:dyDescent="0.25">
      <c r="B18" s="9"/>
    </row>
    <row r="19" spans="2:2" x14ac:dyDescent="0.25">
      <c r="B19" s="9"/>
    </row>
    <row r="20" spans="2:2" x14ac:dyDescent="0.25">
      <c r="B20" s="9"/>
    </row>
    <row r="21" spans="2:2" x14ac:dyDescent="0.25">
      <c r="B21" s="9"/>
    </row>
    <row r="22" spans="2:2" x14ac:dyDescent="0.25">
      <c r="B22" s="9"/>
    </row>
    <row r="23" spans="2:2" x14ac:dyDescent="0.25">
      <c r="B23" s="9"/>
    </row>
    <row r="24" spans="2:2" x14ac:dyDescent="0.25">
      <c r="B24" s="9"/>
    </row>
    <row r="25" spans="2:2" x14ac:dyDescent="0.25">
      <c r="B25" s="9"/>
    </row>
    <row r="26" spans="2:2" x14ac:dyDescent="0.25">
      <c r="B26" s="9"/>
    </row>
    <row r="27" spans="2:2" x14ac:dyDescent="0.25">
      <c r="B27" s="9"/>
    </row>
    <row r="28" spans="2:2" x14ac:dyDescent="0.25">
      <c r="B28" s="9"/>
    </row>
    <row r="29" spans="2:2" x14ac:dyDescent="0.25">
      <c r="B29" s="9"/>
    </row>
    <row r="30" spans="2:2" x14ac:dyDescent="0.25">
      <c r="B30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PayTable</vt:lpstr>
      <vt:lpstr>設計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2024-07-03T10:10:59Z</dcterms:modified>
</cp:coreProperties>
</file>